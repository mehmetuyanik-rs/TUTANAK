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Sayfa1" sheetId="1" state="visible" r:id="rId1"/>
    <sheet xmlns:r="http://schemas.openxmlformats.org/officeDocument/2006/relationships" name="Sayfa2" sheetId="2" state="visible" r:id="rId2"/>
  </sheets>
  <definedNames>
    <definedName name="_xlnm.Print_Area" localSheetId="0">'Sayfa1'!$A$1:$Y$129</definedName>
  </definedNames>
  <calcPr calcId="191029" fullCalcOnLoad="1"/>
</workbook>
</file>

<file path=xl/styles.xml><?xml version="1.0" encoding="utf-8"?>
<styleSheet xmlns="http://schemas.openxmlformats.org/spreadsheetml/2006/main">
  <numFmts count="3">
    <numFmt numFmtId="164" formatCode="&quot;₺&quot;#,##0.00"/>
    <numFmt numFmtId="165" formatCode="0.0"/>
    <numFmt numFmtId="166" formatCode="_-&quot;₺&quot;* #,##0.00_-;\-&quot;₺&quot;* #,##0.00_-;_-&quot;₺&quot;* &quot;-&quot;??_-;_-@_-"/>
  </numFmts>
  <fonts count="13">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2"/>
      <scheme val="minor"/>
    </font>
    <font>
      <name val="Calibri"/>
      <charset val="162"/>
      <family val="2"/>
      <b val="1"/>
      <color theme="1"/>
      <sz val="14"/>
      <scheme val="minor"/>
    </font>
    <font>
      <name val="Calibri"/>
      <charset val="162"/>
      <family val="2"/>
      <b val="1"/>
      <color theme="1"/>
      <sz val="16"/>
      <scheme val="minor"/>
    </font>
    <font>
      <name val="Calibri"/>
      <charset val="162"/>
      <family val="2"/>
      <b val="1"/>
      <color rgb="FFFF0000"/>
      <sz val="12"/>
      <scheme val="minor"/>
    </font>
    <font>
      <name val="Calibri"/>
      <charset val="162"/>
      <family val="2"/>
      <b val="1"/>
      <sz val="12"/>
      <scheme val="minor"/>
    </font>
    <font>
      <name val="Calibri"/>
      <family val="2"/>
      <sz val="8"/>
      <scheme val="minor"/>
    </font>
    <font>
      <name val="Calibri"/>
      <family val="2"/>
      <color theme="1"/>
      <sz val="11"/>
      <scheme val="minor"/>
    </font>
    <font>
      <name val="Arial"/>
      <charset val="162"/>
      <family val="2"/>
      <b val="1"/>
      <color theme="1"/>
      <sz val="11"/>
    </font>
    <font>
      <name val="Calibri"/>
      <family val="2"/>
      <color theme="1"/>
      <sz val="8"/>
      <scheme val="minor"/>
    </font>
    <font>
      <name val="Calibri"/>
      <charset val="162"/>
      <family val="2"/>
      <color theme="1"/>
      <sz val="8"/>
      <scheme val="minor"/>
    </font>
  </fonts>
  <fills count="7">
    <fill>
      <patternFill/>
    </fill>
    <fill>
      <patternFill patternType="gray125"/>
    </fill>
    <fill>
      <patternFill patternType="solid">
        <fgColor theme="4" tint="0.3999755851924192"/>
        <bgColor indexed="64"/>
      </patternFill>
    </fill>
    <fill>
      <patternFill patternType="solid">
        <fgColor theme="4" tint="0.7999816888943144"/>
        <bgColor indexed="64"/>
      </patternFill>
    </fill>
    <fill>
      <patternFill patternType="solid">
        <fgColor theme="4" tint="0.5999938962981048"/>
        <bgColor indexed="64"/>
      </patternFill>
    </fill>
    <fill>
      <patternFill patternType="solid">
        <fgColor theme="5" tint="0.3999755851924192"/>
        <bgColor indexed="64"/>
      </patternFill>
    </fill>
    <fill>
      <patternFill patternType="solid">
        <fgColor rgb="FFFF0000"/>
        <bgColor indexed="64"/>
      </patternFill>
    </fill>
  </fills>
  <borders count="50">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bottom style="thin">
        <color auto="1"/>
      </bottom>
      <diagonal/>
    </border>
    <border>
      <left style="medium">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right/>
      <top style="medium">
        <color auto="1"/>
      </top>
      <bottom style="medium">
        <color auto="1"/>
      </bottom>
      <diagonal/>
    </border>
    <border>
      <left style="hair">
        <color auto="1"/>
      </left>
      <right style="medium">
        <color auto="1"/>
      </right>
      <top style="medium">
        <color auto="1"/>
      </top>
      <bottom style="medium">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medium">
        <color auto="1"/>
      </left>
      <right style="hair">
        <color auto="1"/>
      </right>
      <top style="medium">
        <color auto="1"/>
      </top>
      <bottom/>
      <diagonal/>
    </border>
    <border>
      <left style="medium">
        <color auto="1"/>
      </left>
      <right style="hair">
        <color auto="1"/>
      </right>
      <top/>
      <bottom style="hair">
        <color auto="1"/>
      </bottom>
      <diagonal/>
    </border>
    <border>
      <left style="hair">
        <color auto="1"/>
      </left>
      <right style="hair">
        <color auto="1"/>
      </right>
      <top style="medium">
        <color auto="1"/>
      </top>
      <bottom/>
      <diagonal/>
    </border>
    <border>
      <left style="hair">
        <color auto="1"/>
      </left>
      <right style="hair">
        <color auto="1"/>
      </right>
      <top/>
      <bottom style="hair">
        <color auto="1"/>
      </bottom>
      <diagonal/>
    </border>
    <border>
      <left style="hair">
        <color auto="1"/>
      </left>
      <right style="medium">
        <color auto="1"/>
      </right>
      <top style="medium">
        <color auto="1"/>
      </top>
      <bottom/>
      <diagonal/>
    </border>
    <border>
      <left style="hair">
        <color auto="1"/>
      </left>
      <right style="medium">
        <color auto="1"/>
      </right>
      <top/>
      <bottom style="hair">
        <color auto="1"/>
      </bottom>
      <diagonal/>
    </border>
    <border>
      <left style="medium">
        <color auto="1"/>
      </left>
      <right style="medium">
        <color auto="1"/>
      </right>
      <top/>
      <bottom style="thin">
        <color auto="1"/>
      </bottom>
      <diagonal/>
    </border>
    <border>
      <left style="medium">
        <color auto="1"/>
      </left>
      <right style="hair">
        <color auto="1"/>
      </right>
      <top style="medium">
        <color auto="1"/>
      </top>
      <bottom style="medium">
        <color auto="1"/>
      </bottom>
      <diagonal/>
    </border>
    <border>
      <left style="hair">
        <color auto="1"/>
      </left>
      <right style="hair">
        <color auto="1"/>
      </right>
      <top style="medium">
        <color auto="1"/>
      </top>
      <bottom style="medium">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medium">
        <color auto="1"/>
      </top>
      <bottom/>
      <diagonal/>
    </border>
    <border>
      <left/>
      <right style="medium">
        <color auto="1"/>
      </right>
      <top/>
      <bottom/>
      <diagonal/>
    </border>
    <border>
      <left style="hair">
        <color auto="1"/>
      </left>
      <right/>
      <top style="medium">
        <color auto="1"/>
      </top>
      <bottom style="medium">
        <color auto="1"/>
      </bottom>
      <diagonal/>
    </border>
    <border>
      <left/>
      <right style="hair">
        <color auto="1"/>
      </right>
      <top style="medium">
        <color auto="1"/>
      </top>
      <bottom style="medium">
        <color auto="1"/>
      </bottom>
      <diagonal/>
    </border>
    <border>
      <left style="medium">
        <color auto="1"/>
      </left>
      <right/>
      <top style="medium">
        <color auto="1"/>
      </top>
      <bottom/>
      <diagonal/>
    </border>
    <border>
      <left style="hair">
        <color auto="1"/>
      </left>
      <right style="hair">
        <color auto="1"/>
      </right>
      <top style="hair">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auto="1"/>
      </left>
      <right/>
      <top/>
      <bottom/>
      <diagonal/>
    </border>
    <border>
      <left style="hair">
        <color auto="1"/>
      </left>
      <right style="hair">
        <color auto="1"/>
      </right>
      <top/>
      <bottom/>
      <diagonal/>
    </border>
    <border>
      <left/>
      <right/>
      <top style="medium">
        <color auto="1"/>
      </top>
      <bottom/>
      <diagonal/>
    </border>
    <border>
      <left/>
      <right style="hair">
        <color auto="1"/>
      </right>
      <top style="medium">
        <color auto="1"/>
      </top>
      <bottom/>
      <diagonal/>
    </border>
    <border>
      <left style="medium">
        <color auto="1"/>
      </left>
      <right/>
      <top/>
      <bottom/>
      <diagonal/>
    </border>
    <border>
      <left style="medium">
        <color auto="1"/>
      </left>
      <right style="hair">
        <color auto="1"/>
      </right>
      <top/>
      <bottom/>
      <diagonal/>
    </border>
    <border>
      <left style="hair">
        <color auto="1"/>
      </left>
      <right style="hair">
        <color auto="1"/>
      </right>
      <top style="medium">
        <color auto="1"/>
      </top>
      <bottom style="hair">
        <color auto="1"/>
      </bottom>
      <diagonal/>
    </border>
    <border>
      <left style="hair">
        <color auto="1"/>
      </left>
      <right style="medium">
        <color auto="1"/>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thin">
        <color indexed="64"/>
      </left>
      <right/>
      <top/>
      <bottom/>
      <diagonal/>
    </border>
    <border>
      <left style="hair">
        <color auto="1"/>
      </left>
      <right/>
      <top/>
      <bottom style="hair">
        <color auto="1"/>
      </bottom>
      <diagonal/>
    </border>
  </borders>
  <cellStyleXfs count="4">
    <xf numFmtId="0" fontId="9" fillId="0" borderId="0"/>
    <xf numFmtId="0" fontId="2" fillId="0" borderId="0"/>
    <xf numFmtId="0" fontId="2" fillId="0" borderId="0"/>
    <xf numFmtId="44" fontId="9" fillId="0" borderId="0"/>
  </cellStyleXfs>
  <cellXfs count="191">
    <xf numFmtId="0" fontId="0" fillId="0" borderId="0" pivotButton="0" quotePrefix="0" xfId="0"/>
    <xf numFmtId="0" fontId="0" fillId="0" borderId="5" pivotButton="0" quotePrefix="0" xfId="0"/>
    <xf numFmtId="0" fontId="0" fillId="0" borderId="9" applyAlignment="1" pivotButton="0" quotePrefix="0" xfId="0">
      <alignment horizontal="center" vertical="center"/>
    </xf>
    <xf numFmtId="49" fontId="0" fillId="0" borderId="10" applyAlignment="1" pivotButton="0" quotePrefix="0" xfId="0">
      <alignment horizontal="center" vertical="center"/>
    </xf>
    <xf numFmtId="14" fontId="0" fillId="0" borderId="10" applyAlignment="1" pivotButton="0" quotePrefix="0" xfId="0">
      <alignment horizontal="center" vertical="center"/>
    </xf>
    <xf numFmtId="0" fontId="0" fillId="0" borderId="10" applyAlignment="1" pivotButton="0" quotePrefix="0" xfId="0">
      <alignment horizontal="center" vertical="center"/>
    </xf>
    <xf numFmtId="0" fontId="0" fillId="0" borderId="11" applyAlignment="1" pivotButton="0" quotePrefix="0" xfId="0">
      <alignment horizontal="center" vertical="center"/>
    </xf>
    <xf numFmtId="0" fontId="0" fillId="0" borderId="9" pivotButton="0" quotePrefix="0" xfId="0"/>
    <xf numFmtId="0" fontId="0" fillId="0" borderId="12" pivotButton="0" quotePrefix="0" xfId="0"/>
    <xf numFmtId="1" fontId="0" fillId="3" borderId="9" applyAlignment="1" pivotButton="0" quotePrefix="0" xfId="0">
      <alignment horizontal="center" vertical="center"/>
    </xf>
    <xf numFmtId="1" fontId="0" fillId="3" borderId="10" applyAlignment="1" pivotButton="0" quotePrefix="0" xfId="0">
      <alignment horizontal="center" vertical="center"/>
    </xf>
    <xf numFmtId="1" fontId="0" fillId="3" borderId="11" applyAlignment="1" pivotButton="0" quotePrefix="0" xfId="0">
      <alignment horizontal="center" vertical="center"/>
    </xf>
    <xf numFmtId="0" fontId="0" fillId="3" borderId="9" pivotButton="0" quotePrefix="0" xfId="0"/>
    <xf numFmtId="0" fontId="0" fillId="3" borderId="10" pivotButton="0" quotePrefix="0" xfId="0"/>
    <xf numFmtId="0" fontId="0" fillId="3" borderId="11" pivotButton="0" quotePrefix="0" xfId="0"/>
    <xf numFmtId="0" fontId="0" fillId="4" borderId="9" applyAlignment="1" pivotButton="0" quotePrefix="0" xfId="0">
      <alignment horizontal="center" vertical="top"/>
    </xf>
    <xf numFmtId="2" fontId="0" fillId="4" borderId="10" applyAlignment="1" pivotButton="0" quotePrefix="0" xfId="0">
      <alignment horizontal="center" vertical="center"/>
    </xf>
    <xf numFmtId="2" fontId="0" fillId="4" borderId="11" applyAlignment="1" pivotButton="0" quotePrefix="0" xfId="0">
      <alignment horizontal="center" vertical="center"/>
    </xf>
    <xf numFmtId="0" fontId="0" fillId="4" borderId="9" pivotButton="0" quotePrefix="0" xfId="0"/>
    <xf numFmtId="0" fontId="0" fillId="4" borderId="10" pivotButton="0" quotePrefix="0" xfId="0"/>
    <xf numFmtId="0" fontId="0" fillId="4" borderId="11" pivotButton="0" quotePrefix="0" xfId="0"/>
    <xf numFmtId="0" fontId="0" fillId="2" borderId="7" applyAlignment="1" pivotButton="0" quotePrefix="0" xfId="0">
      <alignment horizontal="left" vertical="center"/>
    </xf>
    <xf numFmtId="2" fontId="0" fillId="2" borderId="8" applyAlignment="1" pivotButton="0" quotePrefix="0" xfId="0">
      <alignment horizontal="center" vertical="center"/>
    </xf>
    <xf numFmtId="0" fontId="0" fillId="2" borderId="9" applyAlignment="1" pivotButton="0" quotePrefix="0" xfId="0">
      <alignment horizontal="left" vertical="center"/>
    </xf>
    <xf numFmtId="2" fontId="0" fillId="2" borderId="11" applyAlignment="1" pivotButton="0" quotePrefix="0" xfId="0">
      <alignment horizontal="center" vertical="center"/>
    </xf>
    <xf numFmtId="0" fontId="0" fillId="2" borderId="9" pivotButton="0" quotePrefix="0" xfId="0"/>
    <xf numFmtId="0" fontId="0" fillId="2" borderId="11" pivotButton="0" quotePrefix="0" xfId="0"/>
    <xf numFmtId="0" fontId="3" fillId="0" borderId="2" applyAlignment="1" pivotButton="0" quotePrefix="0" xfId="0">
      <alignment horizontal="center" vertical="center"/>
    </xf>
    <xf numFmtId="164" fontId="6" fillId="0" borderId="1" applyAlignment="1" pivotButton="0" quotePrefix="0" xfId="0">
      <alignment horizontal="center" vertical="center"/>
    </xf>
    <xf numFmtId="164" fontId="7" fillId="0" borderId="5" applyAlignment="1" pivotButton="0" quotePrefix="0" xfId="0">
      <alignment horizontal="center" vertical="center"/>
    </xf>
    <xf numFmtId="164" fontId="7" fillId="0" borderId="6" applyAlignment="1" pivotButton="0" quotePrefix="0" xfId="0">
      <alignment horizontal="center" vertical="center"/>
    </xf>
    <xf numFmtId="2" fontId="0" fillId="4" borderId="16" applyAlignment="1" pivotButton="0" quotePrefix="0" xfId="0">
      <alignment horizontal="center" vertical="center"/>
    </xf>
    <xf numFmtId="0" fontId="0" fillId="4" borderId="16" pivotButton="0" quotePrefix="0" xfId="0"/>
    <xf numFmtId="2" fontId="0" fillId="2" borderId="15" applyAlignment="1" pivotButton="0" quotePrefix="0" xfId="0">
      <alignment horizontal="center" vertical="center"/>
    </xf>
    <xf numFmtId="2" fontId="0" fillId="2" borderId="16" applyAlignment="1" pivotButton="0" quotePrefix="0" xfId="0">
      <alignment horizontal="center" vertical="center"/>
    </xf>
    <xf numFmtId="0" fontId="0" fillId="2" borderId="16" pivotButton="0" quotePrefix="0" xfId="0"/>
    <xf numFmtId="0" fontId="3" fillId="3" borderId="25" applyAlignment="1" pivotButton="0" quotePrefix="0" xfId="0">
      <alignment horizontal="center" vertical="center" wrapText="1"/>
    </xf>
    <xf numFmtId="0" fontId="3" fillId="3" borderId="14" applyAlignment="1" pivotButton="0" quotePrefix="0" xfId="0">
      <alignment horizontal="center" vertical="center" wrapText="1"/>
    </xf>
    <xf numFmtId="0" fontId="3" fillId="0" borderId="24" applyAlignment="1" pivotButton="0" quotePrefix="0" xfId="0">
      <alignment horizontal="center" vertical="center"/>
    </xf>
    <xf numFmtId="0" fontId="3" fillId="0" borderId="25" applyAlignment="1" pivotButton="0" quotePrefix="0" xfId="0">
      <alignment horizontal="center" vertical="center"/>
    </xf>
    <xf numFmtId="0" fontId="3" fillId="0" borderId="14" applyAlignment="1" pivotButton="0" quotePrefix="0" xfId="0">
      <alignment horizontal="center" vertical="center"/>
    </xf>
    <xf numFmtId="0" fontId="3" fillId="2" borderId="24" applyAlignment="1" pivotButton="0" quotePrefix="0" xfId="0">
      <alignment horizontal="center" vertical="center" wrapText="1"/>
    </xf>
    <xf numFmtId="0" fontId="3" fillId="2" borderId="25" applyAlignment="1" pivotButton="0" quotePrefix="0" xfId="0">
      <alignment horizontal="center" vertical="center"/>
    </xf>
    <xf numFmtId="0" fontId="3" fillId="2" borderId="14" applyAlignment="1" pivotButton="0" quotePrefix="0" xfId="0">
      <alignment horizontal="center" vertical="center"/>
    </xf>
    <xf numFmtId="165" fontId="0" fillId="3" borderId="9" applyAlignment="1" pivotButton="0" quotePrefix="0" xfId="0">
      <alignment horizontal="center" vertical="center"/>
    </xf>
    <xf numFmtId="165" fontId="0" fillId="3" borderId="10" applyAlignment="1" pivotButton="0" quotePrefix="0" xfId="0">
      <alignment horizontal="center" vertical="center"/>
    </xf>
    <xf numFmtId="0" fontId="0" fillId="2" borderId="26" pivotButton="0" quotePrefix="0" xfId="0"/>
    <xf numFmtId="0" fontId="0" fillId="2" borderId="27" pivotButton="0" quotePrefix="0" xfId="0"/>
    <xf numFmtId="0" fontId="4" fillId="2" borderId="28" applyAlignment="1" pivotButton="0" quotePrefix="0" xfId="0">
      <alignment horizontal="center" vertical="center"/>
    </xf>
    <xf numFmtId="0" fontId="3" fillId="2" borderId="4" applyAlignment="1" pivotButton="0" quotePrefix="0" xfId="0">
      <alignment horizontal="center" vertical="center"/>
    </xf>
    <xf numFmtId="2" fontId="0" fillId="2" borderId="29" applyAlignment="1" pivotButton="0" quotePrefix="0" xfId="0">
      <alignment horizontal="center" vertical="center"/>
    </xf>
    <xf numFmtId="0" fontId="0" fillId="2" borderId="29" pivotButton="0" quotePrefix="0" xfId="0"/>
    <xf numFmtId="0" fontId="3" fillId="3" borderId="24" applyAlignment="1" pivotButton="0" quotePrefix="0" xfId="0">
      <alignment horizontal="center" vertical="center" wrapText="1"/>
    </xf>
    <xf numFmtId="164" fontId="0" fillId="2" borderId="28" applyAlignment="1" pivotButton="0" quotePrefix="0" xfId="0">
      <alignment horizontal="center" vertical="center"/>
    </xf>
    <xf numFmtId="164" fontId="0" fillId="2" borderId="29" applyAlignment="1" pivotButton="0" quotePrefix="0" xfId="0">
      <alignment horizontal="center" vertical="center"/>
    </xf>
    <xf numFmtId="164" fontId="0" fillId="2" borderId="29" pivotButton="0" quotePrefix="0" xfId="0"/>
    <xf numFmtId="2" fontId="0" fillId="2" borderId="28" applyAlignment="1" pivotButton="0" quotePrefix="0" xfId="0">
      <alignment horizontal="center" vertical="center"/>
    </xf>
    <xf numFmtId="0" fontId="0" fillId="4" borderId="9" applyAlignment="1" pivotButton="0" quotePrefix="0" xfId="0">
      <alignment horizontal="center" vertical="center"/>
    </xf>
    <xf numFmtId="0" fontId="0" fillId="2" borderId="29" applyAlignment="1" pivotButton="0" quotePrefix="0" xfId="0">
      <alignment horizontal="left" vertical="center"/>
    </xf>
    <xf numFmtId="0" fontId="0" fillId="0" borderId="0" applyAlignment="1" pivotButton="0" quotePrefix="0" xfId="0">
      <alignment horizontal="center" vertical="center"/>
    </xf>
    <xf numFmtId="0" fontId="10" fillId="0" borderId="34" applyAlignment="1" pivotButton="0" quotePrefix="0" xfId="0">
      <alignment horizontal="center" vertical="center" wrapText="1"/>
    </xf>
    <xf numFmtId="0" fontId="0" fillId="0" borderId="34" applyAlignment="1" pivotButton="0" quotePrefix="0" xfId="0">
      <alignment horizontal="center" vertical="center"/>
    </xf>
    <xf numFmtId="14" fontId="0" fillId="0" borderId="34" applyAlignment="1" pivotButton="0" quotePrefix="0" xfId="0">
      <alignment horizontal="center" vertical="center"/>
    </xf>
    <xf numFmtId="0" fontId="0" fillId="0" borderId="34" applyAlignment="1" pivotButton="0" quotePrefix="0" xfId="0">
      <alignment horizontal="center" vertical="center" wrapText="1"/>
    </xf>
    <xf numFmtId="166" fontId="0" fillId="0" borderId="0" pivotButton="0" quotePrefix="0" xfId="3"/>
    <xf numFmtId="166" fontId="10" fillId="0" borderId="34" applyAlignment="1" pivotButton="0" quotePrefix="0" xfId="3">
      <alignment horizontal="center" vertical="center" wrapText="1"/>
    </xf>
    <xf numFmtId="166" fontId="0" fillId="0" borderId="34" applyAlignment="1" pivotButton="0" quotePrefix="0" xfId="3">
      <alignment horizontal="center" vertical="center"/>
    </xf>
    <xf numFmtId="166" fontId="0" fillId="0" borderId="36" applyAlignment="1" pivotButton="0" quotePrefix="0" xfId="3">
      <alignment horizontal="center" vertical="center"/>
    </xf>
    <xf numFmtId="0" fontId="0" fillId="0" borderId="35" applyAlignment="1" pivotButton="0" quotePrefix="0" xfId="0">
      <alignment horizontal="center" vertical="center"/>
    </xf>
    <xf numFmtId="0" fontId="0" fillId="0" borderId="36" applyAlignment="1" pivotButton="0" quotePrefix="0" xfId="0">
      <alignment horizontal="center" vertical="center"/>
    </xf>
    <xf numFmtId="14" fontId="0" fillId="0" borderId="35" applyAlignment="1" pivotButton="0" quotePrefix="0" xfId="0">
      <alignment horizontal="center" vertical="center"/>
    </xf>
    <xf numFmtId="14" fontId="0" fillId="0" borderId="36" applyAlignment="1" pivotButton="0" quotePrefix="0" xfId="0">
      <alignment horizontal="center" vertical="center"/>
    </xf>
    <xf numFmtId="0" fontId="0" fillId="0" borderId="35" applyAlignment="1" pivotButton="0" quotePrefix="0" xfId="0">
      <alignment horizontal="center" vertical="center" wrapText="1"/>
    </xf>
    <xf numFmtId="166" fontId="0" fillId="0" borderId="36" applyAlignment="1" pivotButton="0" quotePrefix="0" xfId="3">
      <alignment vertical="center"/>
    </xf>
    <xf numFmtId="166" fontId="0" fillId="0" borderId="34" applyAlignment="1" pivotButton="0" quotePrefix="0" xfId="3">
      <alignment vertical="center"/>
    </xf>
    <xf numFmtId="0" fontId="11" fillId="0" borderId="35" applyAlignment="1" pivotButton="0" quotePrefix="0" xfId="0">
      <alignment horizontal="center" vertical="center" wrapText="1"/>
    </xf>
    <xf numFmtId="0" fontId="11" fillId="0" borderId="36" applyAlignment="1" pivotButton="0" quotePrefix="0" xfId="0">
      <alignment horizontal="center" vertical="center" wrapText="1"/>
    </xf>
    <xf numFmtId="0" fontId="11" fillId="0" borderId="0" pivotButton="0" quotePrefix="0" xfId="0"/>
    <xf numFmtId="0" fontId="11" fillId="0" borderId="34" applyAlignment="1" pivotButton="0" quotePrefix="0" xfId="0">
      <alignment horizontal="center" vertical="center" wrapText="1"/>
    </xf>
    <xf numFmtId="0" fontId="11" fillId="0" borderId="37" applyAlignment="1" pivotButton="0" quotePrefix="0" xfId="0">
      <alignment horizontal="center" vertical="center" wrapText="1"/>
    </xf>
    <xf numFmtId="0" fontId="0" fillId="0" borderId="37" applyAlignment="1" pivotButton="0" quotePrefix="0" xfId="0">
      <alignment horizontal="center" vertical="center"/>
    </xf>
    <xf numFmtId="14" fontId="0" fillId="0" borderId="37" applyAlignment="1" pivotButton="0" quotePrefix="0" xfId="0">
      <alignment horizontal="center" vertical="center"/>
    </xf>
    <xf numFmtId="0" fontId="0" fillId="6" borderId="34" applyAlignment="1" pivotButton="0" quotePrefix="0" xfId="0">
      <alignment horizontal="center" vertical="center"/>
    </xf>
    <xf numFmtId="14" fontId="0" fillId="6" borderId="34" applyAlignment="1" pivotButton="0" quotePrefix="0" xfId="0">
      <alignment horizontal="center" vertical="center"/>
    </xf>
    <xf numFmtId="0" fontId="11" fillId="6" borderId="34" applyAlignment="1" pivotButton="0" quotePrefix="0" xfId="0">
      <alignment horizontal="center" vertical="center" wrapText="1"/>
    </xf>
    <xf numFmtId="166" fontId="0" fillId="6" borderId="34" applyAlignment="1" pivotButton="0" quotePrefix="0" xfId="3">
      <alignment horizontal="center" vertical="center"/>
    </xf>
    <xf numFmtId="0" fontId="0" fillId="6" borderId="35" applyAlignment="1" pivotButton="0" quotePrefix="0" xfId="0">
      <alignment horizontal="center" vertical="center"/>
    </xf>
    <xf numFmtId="14" fontId="0" fillId="6" borderId="35" applyAlignment="1" pivotButton="0" quotePrefix="0" xfId="0">
      <alignment horizontal="center" vertical="center"/>
    </xf>
    <xf numFmtId="0" fontId="11" fillId="6" borderId="35" applyAlignment="1" pivotButton="0" quotePrefix="0" xfId="0">
      <alignment horizontal="center" vertical="center" wrapText="1"/>
    </xf>
    <xf numFmtId="14" fontId="0" fillId="0" borderId="35" applyAlignment="1" pivotButton="0" quotePrefix="0" xfId="0">
      <alignment horizontal="center" vertical="center"/>
    </xf>
    <xf numFmtId="14" fontId="0" fillId="0" borderId="37" applyAlignment="1" pivotButton="0" quotePrefix="0" xfId="0">
      <alignment horizontal="center" vertical="center"/>
    </xf>
    <xf numFmtId="14" fontId="0" fillId="0" borderId="36" applyAlignment="1" pivotButton="0" quotePrefix="0" xfId="0">
      <alignment horizontal="center" vertical="center"/>
    </xf>
    <xf numFmtId="0" fontId="0" fillId="0" borderId="35" applyAlignment="1" pivotButton="0" quotePrefix="0" xfId="0">
      <alignment horizontal="center" vertical="center"/>
    </xf>
    <xf numFmtId="0" fontId="0" fillId="0" borderId="37" applyAlignment="1" pivotButton="0" quotePrefix="0" xfId="0">
      <alignment horizontal="center" vertical="center"/>
    </xf>
    <xf numFmtId="0" fontId="0" fillId="0" borderId="36" applyAlignment="1" pivotButton="0" quotePrefix="0" xfId="0">
      <alignment horizontal="center" vertical="center"/>
    </xf>
    <xf numFmtId="0" fontId="11" fillId="0" borderId="35" applyAlignment="1" pivotButton="0" quotePrefix="0" xfId="0">
      <alignment horizontal="center" vertical="center" wrapText="1"/>
    </xf>
    <xf numFmtId="0" fontId="11" fillId="0" borderId="36"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0" borderId="37" applyAlignment="1" pivotButton="0" quotePrefix="0" xfId="0">
      <alignment horizontal="center" vertical="center" wrapText="1"/>
    </xf>
    <xf numFmtId="0" fontId="11" fillId="0" borderId="37" applyAlignment="1" pivotButton="0" quotePrefix="0" xfId="0">
      <alignment horizontal="center" vertical="center" wrapText="1"/>
    </xf>
    <xf numFmtId="166" fontId="0" fillId="0" borderId="35" applyAlignment="1" pivotButton="0" quotePrefix="0" xfId="3">
      <alignment horizontal="center" vertical="center"/>
    </xf>
    <xf numFmtId="166" fontId="0" fillId="0" borderId="36" applyAlignment="1" pivotButton="0" quotePrefix="0" xfId="3">
      <alignment horizontal="center" vertical="center"/>
    </xf>
    <xf numFmtId="0" fontId="12" fillId="0" borderId="35" applyAlignment="1" pivotButton="0" quotePrefix="0" xfId="0">
      <alignment horizontal="center" vertical="center" wrapText="1"/>
    </xf>
    <xf numFmtId="0" fontId="5" fillId="5" borderId="3" applyAlignment="1" pivotButton="0" quotePrefix="0" xfId="0">
      <alignment horizontal="center" vertical="center"/>
    </xf>
    <xf numFmtId="0" fontId="5" fillId="5" borderId="13" applyAlignment="1" pivotButton="0" quotePrefix="0" xfId="0">
      <alignment horizontal="center" vertical="center"/>
    </xf>
    <xf numFmtId="0" fontId="5" fillId="5" borderId="4" applyAlignment="1" pivotButton="0" quotePrefix="0" xfId="0">
      <alignment horizontal="center" vertical="center"/>
    </xf>
    <xf numFmtId="2" fontId="0" fillId="2" borderId="32" applyAlignment="1" pivotButton="0" quotePrefix="0" xfId="0">
      <alignment horizontal="center" vertical="center"/>
    </xf>
    <xf numFmtId="2" fontId="0" fillId="2" borderId="28" applyAlignment="1" pivotButton="0" quotePrefix="0" xfId="0">
      <alignment horizontal="center" vertical="center"/>
    </xf>
    <xf numFmtId="0" fontId="4" fillId="3" borderId="1" applyAlignment="1" pivotButton="0" quotePrefix="0" xfId="0">
      <alignment horizontal="center" vertical="center"/>
    </xf>
    <xf numFmtId="0" fontId="5" fillId="0" borderId="1" applyAlignment="1" pivotButton="0" quotePrefix="0" xfId="0">
      <alignment horizontal="center" vertical="center"/>
    </xf>
    <xf numFmtId="0" fontId="4" fillId="0" borderId="3" applyAlignment="1" pivotButton="0" quotePrefix="0" xfId="0">
      <alignment horizontal="center" vertical="center"/>
    </xf>
    <xf numFmtId="0" fontId="4" fillId="0" borderId="13" applyAlignment="1" pivotButton="0" quotePrefix="0" xfId="0">
      <alignment horizontal="center" vertical="center"/>
    </xf>
    <xf numFmtId="0" fontId="4" fillId="0" borderId="4" applyAlignment="1" pivotButton="0" quotePrefix="0" xfId="0">
      <alignment horizontal="center" vertical="center"/>
    </xf>
    <xf numFmtId="0" fontId="4" fillId="4" borderId="3" applyAlignment="1" pivotButton="0" quotePrefix="0" xfId="0">
      <alignment horizontal="center" vertical="center"/>
    </xf>
    <xf numFmtId="0" fontId="4" fillId="4" borderId="13" applyAlignment="1" pivotButton="0" quotePrefix="0" xfId="0">
      <alignment horizontal="center" vertical="center"/>
    </xf>
    <xf numFmtId="0" fontId="4" fillId="4" borderId="4" applyAlignment="1" pivotButton="0" quotePrefix="0" xfId="0">
      <alignment horizontal="center" vertical="center"/>
    </xf>
    <xf numFmtId="0" fontId="4" fillId="2" borderId="3" applyAlignment="1" pivotButton="0" quotePrefix="0" xfId="0">
      <alignment horizontal="center" vertical="center"/>
    </xf>
    <xf numFmtId="0" fontId="4" fillId="2" borderId="13"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wrapText="1"/>
    </xf>
    <xf numFmtId="0" fontId="4" fillId="2" borderId="13" applyAlignment="1" pivotButton="0" quotePrefix="0" xfId="0">
      <alignment horizontal="center" vertical="center" wrapText="1"/>
    </xf>
    <xf numFmtId="0" fontId="4" fillId="2" borderId="4" applyAlignment="1" pivotButton="0" quotePrefix="0" xfId="0">
      <alignment horizontal="center" vertical="center" wrapText="1"/>
    </xf>
    <xf numFmtId="0" fontId="0" fillId="0" borderId="17" applyAlignment="1" pivotButton="0" quotePrefix="0" xfId="0">
      <alignment horizontal="center" vertical="center"/>
    </xf>
    <xf numFmtId="0" fontId="0" fillId="0" borderId="18" applyAlignment="1" pivotButton="0" quotePrefix="0" xfId="0">
      <alignment horizontal="center" vertical="center"/>
    </xf>
    <xf numFmtId="49" fontId="0" fillId="0" borderId="19" applyAlignment="1" pivotButton="0" quotePrefix="0" xfId="0">
      <alignment horizontal="center" vertical="center"/>
    </xf>
    <xf numFmtId="49" fontId="0" fillId="0" borderId="20" applyAlignment="1" pivotButton="0" quotePrefix="0" xfId="0">
      <alignment horizontal="center" vertical="center"/>
    </xf>
    <xf numFmtId="14" fontId="0" fillId="0" borderId="19" applyAlignment="1" pivotButton="0" quotePrefix="0" xfId="0">
      <alignment horizontal="center" vertical="center"/>
    </xf>
    <xf numFmtId="14" fontId="0" fillId="0" borderId="20"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2" fontId="0" fillId="4" borderId="21" applyAlignment="1" pivotButton="0" quotePrefix="0" xfId="0">
      <alignment horizontal="center" vertical="center"/>
    </xf>
    <xf numFmtId="2" fontId="0" fillId="4" borderId="22" applyAlignment="1" pivotButton="0" quotePrefix="0" xfId="0">
      <alignment horizontal="center" vertical="center"/>
    </xf>
    <xf numFmtId="164" fontId="7" fillId="0" borderId="2" applyAlignment="1" pivotButton="0" quotePrefix="0" xfId="0">
      <alignment horizontal="center" vertical="center"/>
    </xf>
    <xf numFmtId="164" fontId="7" fillId="0" borderId="23" applyAlignment="1" pivotButton="0" quotePrefix="0" xfId="0">
      <alignment horizontal="center" vertical="center"/>
    </xf>
    <xf numFmtId="0" fontId="0" fillId="0" borderId="21" applyAlignment="1" pivotButton="0" quotePrefix="0" xfId="0">
      <alignment horizontal="center" vertical="center"/>
    </xf>
    <xf numFmtId="0" fontId="0" fillId="0" borderId="22" applyAlignment="1" pivotButton="0" quotePrefix="0" xfId="0">
      <alignment horizontal="center" vertical="center"/>
    </xf>
    <xf numFmtId="1" fontId="0" fillId="3" borderId="19" applyAlignment="1" pivotButton="0" quotePrefix="0" xfId="0">
      <alignment horizontal="center" vertical="center"/>
    </xf>
    <xf numFmtId="1" fontId="0" fillId="3" borderId="20" applyAlignment="1" pivotButton="0" quotePrefix="0" xfId="0">
      <alignment horizontal="center" vertical="center"/>
    </xf>
    <xf numFmtId="1" fontId="0" fillId="3" borderId="21" applyAlignment="1" pivotButton="0" quotePrefix="0" xfId="0">
      <alignment horizontal="center" vertical="center"/>
    </xf>
    <xf numFmtId="1" fontId="0" fillId="3" borderId="22" applyAlignment="1" pivotButton="0" quotePrefix="0" xfId="0">
      <alignment horizontal="center" vertical="center"/>
    </xf>
    <xf numFmtId="0" fontId="0" fillId="4" borderId="17" applyAlignment="1" pivotButton="0" quotePrefix="0" xfId="0">
      <alignment horizontal="center" vertical="top"/>
    </xf>
    <xf numFmtId="0" fontId="0" fillId="4" borderId="18" applyAlignment="1" pivotButton="0" quotePrefix="0" xfId="0">
      <alignment horizontal="center" vertical="top"/>
    </xf>
    <xf numFmtId="2" fontId="0" fillId="4" borderId="19" applyAlignment="1" pivotButton="0" quotePrefix="0" xfId="0">
      <alignment horizontal="center" vertical="center"/>
    </xf>
    <xf numFmtId="2" fontId="0" fillId="4" borderId="20" applyAlignment="1" pivotButton="0" quotePrefix="0" xfId="0">
      <alignment horizontal="center" vertical="center"/>
    </xf>
    <xf numFmtId="1" fontId="0" fillId="3" borderId="17" applyAlignment="1" pivotButton="0" quotePrefix="0" xfId="0">
      <alignment horizontal="center" vertical="center"/>
    </xf>
    <xf numFmtId="1" fontId="0" fillId="3" borderId="18" applyAlignment="1" pivotButton="0" quotePrefix="0" xfId="0">
      <alignment horizontal="center" vertical="center"/>
    </xf>
    <xf numFmtId="49" fontId="0" fillId="0" borderId="33" applyAlignment="1" pivotButton="0" quotePrefix="0" xfId="0">
      <alignment horizontal="center" vertical="center"/>
    </xf>
    <xf numFmtId="0" fontId="3" fillId="2" borderId="30" applyAlignment="1" pivotButton="0" quotePrefix="0" xfId="0">
      <alignment horizontal="center" vertical="center"/>
    </xf>
    <xf numFmtId="0" fontId="3" fillId="2" borderId="31" applyAlignment="1" pivotButton="0" quotePrefix="0" xfId="0">
      <alignment horizontal="center" vertical="center"/>
    </xf>
    <xf numFmtId="0" fontId="0" fillId="0" borderId="13" pivotButton="0" quotePrefix="0" xfId="0"/>
    <xf numFmtId="0" fontId="0" fillId="0" borderId="4" pivotButton="0" quotePrefix="0" xfId="0"/>
    <xf numFmtId="0" fontId="4" fillId="0" borderId="1" applyAlignment="1" pivotButton="0" quotePrefix="0" xfId="0">
      <alignment horizontal="center" vertical="center"/>
    </xf>
    <xf numFmtId="0" fontId="4" fillId="4" borderId="1" applyAlignment="1" pivotButton="0" quotePrefix="0" xfId="0">
      <alignment horizontal="center" vertical="center"/>
    </xf>
    <xf numFmtId="0" fontId="4" fillId="2" borderId="1" applyAlignment="1" pivotButton="0" quotePrefix="0" xfId="0">
      <alignment horizontal="center" vertical="center"/>
    </xf>
    <xf numFmtId="0" fontId="4" fillId="2" borderId="1" applyAlignment="1" pivotButton="0" quotePrefix="0" xfId="0">
      <alignment horizontal="center" vertical="center" wrapText="1"/>
    </xf>
    <xf numFmtId="0" fontId="0" fillId="0" borderId="31" pivotButton="0" quotePrefix="0" xfId="0"/>
    <xf numFmtId="0" fontId="0" fillId="0" borderId="7" applyAlignment="1" pivotButton="0" quotePrefix="0" xfId="0">
      <alignment horizontal="center" vertical="center"/>
    </xf>
    <xf numFmtId="49" fontId="0" fillId="0" borderId="44" applyAlignment="1" pivotButton="0" quotePrefix="0" xfId="0">
      <alignment horizontal="center" vertical="center"/>
    </xf>
    <xf numFmtId="14" fontId="0" fillId="0" borderId="44" applyAlignment="1" pivotButton="0" quotePrefix="0" xfId="0">
      <alignment horizontal="center" vertical="center"/>
    </xf>
    <xf numFmtId="0" fontId="0" fillId="0" borderId="44" applyAlignment="1" pivotButton="0" quotePrefix="0" xfId="0">
      <alignment horizontal="center" vertical="center"/>
    </xf>
    <xf numFmtId="0" fontId="0" fillId="0" borderId="8" applyAlignment="1" pivotButton="0" quotePrefix="0" xfId="0">
      <alignment horizontal="center" vertical="center"/>
    </xf>
    <xf numFmtId="1" fontId="0" fillId="3" borderId="7" applyAlignment="1" pivotButton="0" quotePrefix="0" xfId="0">
      <alignment horizontal="center" vertical="center"/>
    </xf>
    <xf numFmtId="1" fontId="0" fillId="3" borderId="44" applyAlignment="1" pivotButton="0" quotePrefix="0" xfId="0">
      <alignment horizontal="center" vertical="center"/>
    </xf>
    <xf numFmtId="1" fontId="0" fillId="3" borderId="8" applyAlignment="1" pivotButton="0" quotePrefix="0" xfId="0">
      <alignment horizontal="center" vertical="center"/>
    </xf>
    <xf numFmtId="0" fontId="0" fillId="4" borderId="7" applyAlignment="1" pivotButton="0" quotePrefix="0" xfId="0">
      <alignment horizontal="center" vertical="top"/>
    </xf>
    <xf numFmtId="2" fontId="0" fillId="4" borderId="44" applyAlignment="1" pivotButton="0" quotePrefix="0" xfId="0">
      <alignment horizontal="center" vertical="center"/>
    </xf>
    <xf numFmtId="2" fontId="0" fillId="4" borderId="8" applyAlignment="1" pivotButton="0" quotePrefix="0" xfId="0">
      <alignment horizontal="center" vertical="center"/>
    </xf>
    <xf numFmtId="2" fontId="0" fillId="2" borderId="2" applyAlignment="1" pivotButton="0" quotePrefix="0" xfId="0">
      <alignment horizontal="center" vertical="center"/>
    </xf>
    <xf numFmtId="0" fontId="0" fillId="0" borderId="28" pivotButton="0" quotePrefix="0" xfId="0"/>
    <xf numFmtId="164" fontId="7" fillId="0" borderId="46" applyAlignment="1" pivotButton="0" quotePrefix="0" xfId="0">
      <alignment horizontal="center" vertical="center"/>
    </xf>
    <xf numFmtId="0" fontId="0" fillId="0" borderId="18" pivotButton="0" quotePrefix="0" xfId="0"/>
    <xf numFmtId="0" fontId="0" fillId="0" borderId="20" pivotButton="0" quotePrefix="0" xfId="0"/>
    <xf numFmtId="0" fontId="0" fillId="0" borderId="22" pivotButton="0" quotePrefix="0" xfId="0"/>
    <xf numFmtId="0" fontId="0" fillId="0" borderId="23" pivotButton="0" quotePrefix="0" xfId="0"/>
    <xf numFmtId="0" fontId="0" fillId="0" borderId="49" pivotButton="0" quotePrefix="0" xfId="0"/>
    <xf numFmtId="0" fontId="0" fillId="0" borderId="39" pivotButton="0" quotePrefix="0" xfId="0"/>
    <xf numFmtId="0" fontId="0" fillId="0" borderId="45" pivotButton="0" quotePrefix="0" xfId="0"/>
    <xf numFmtId="0" fontId="0" fillId="0" borderId="43" pivotButton="0" quotePrefix="0" xfId="0"/>
    <xf numFmtId="0" fontId="0" fillId="0" borderId="38" pivotButton="0" quotePrefix="0" xfId="0"/>
    <xf numFmtId="166" fontId="0" fillId="0" borderId="0" pivotButton="0" quotePrefix="0" xfId="3"/>
    <xf numFmtId="0" fontId="5" fillId="5" borderId="1" applyAlignment="1" pivotButton="0" quotePrefix="0" xfId="0">
      <alignment horizontal="center" vertical="center"/>
    </xf>
    <xf numFmtId="166" fontId="10" fillId="0" borderId="34" applyAlignment="1" pivotButton="0" quotePrefix="0" xfId="3">
      <alignment horizontal="center" vertical="center" wrapText="1"/>
    </xf>
    <xf numFmtId="166" fontId="0" fillId="0" borderId="34" applyAlignment="1" pivotButton="0" quotePrefix="0" xfId="3">
      <alignment horizontal="center" vertical="center"/>
    </xf>
    <xf numFmtId="166" fontId="0" fillId="0" borderId="34" applyAlignment="1" pivotButton="0" quotePrefix="0" xfId="3">
      <alignment vertical="center"/>
    </xf>
    <xf numFmtId="0" fontId="0" fillId="0" borderId="36" pivotButton="0" quotePrefix="0" xfId="0"/>
    <xf numFmtId="166" fontId="0" fillId="0" borderId="36" applyAlignment="1" pivotButton="0" quotePrefix="0" xfId="3">
      <alignment vertical="center"/>
    </xf>
    <xf numFmtId="0" fontId="12" fillId="0" borderId="34" applyAlignment="1" pivotButton="0" quotePrefix="0" xfId="0">
      <alignment horizontal="center" vertical="center" wrapText="1"/>
    </xf>
    <xf numFmtId="0" fontId="0" fillId="0" borderId="37" pivotButton="0" quotePrefix="0" xfId="0"/>
    <xf numFmtId="166" fontId="0" fillId="6" borderId="34" applyAlignment="1" pivotButton="0" quotePrefix="0" xfId="3">
      <alignment horizontal="center" vertical="center"/>
    </xf>
    <xf numFmtId="166" fontId="0" fillId="0" borderId="36" applyAlignment="1" pivotButton="0" quotePrefix="0" xfId="3">
      <alignment horizontal="center" vertical="center"/>
    </xf>
  </cellXfs>
  <cellStyles count="4">
    <cellStyle name="Normal" xfId="0" builtinId="0"/>
    <cellStyle name="Normal 2" xfId="1"/>
    <cellStyle name="Normal 3" xfId="2"/>
    <cellStyle name="ParaBirimi" xfId="3"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X320"/>
  <sheetViews>
    <sheetView view="pageBreakPreview" topLeftCell="H1" zoomScale="55" zoomScaleNormal="70" zoomScaleSheetLayoutView="55" workbookViewId="0">
      <pane ySplit="4" topLeftCell="A18" activePane="bottomLeft" state="frozen"/>
      <selection pane="bottomLeft" activeCell="C25" sqref="C25:U29"/>
    </sheetView>
  </sheetViews>
  <sheetFormatPr baseColWidth="8" defaultRowHeight="14.4"/>
  <cols>
    <col width="12.6640625" customWidth="1" min="2" max="2"/>
    <col width="12.5546875" customWidth="1" min="3" max="3"/>
    <col width="11.44140625" customWidth="1" min="4" max="4"/>
    <col width="28.44140625" customWidth="1" min="7" max="7"/>
    <col width="8.6640625" customWidth="1" min="8" max="8"/>
    <col width="10.33203125" customWidth="1" min="9" max="9"/>
    <col width="10" customWidth="1" min="10" max="10"/>
    <col width="12.6640625" customWidth="1" min="11" max="11"/>
    <col width="10.88671875" customWidth="1" min="12" max="12"/>
    <col width="11.88671875" customWidth="1" min="13" max="13"/>
    <col width="10.33203125" customWidth="1" min="14" max="14"/>
    <col width="8.88671875" customWidth="1" min="15" max="15"/>
    <col width="18.33203125" customWidth="1" min="16" max="16"/>
    <col width="14.44140625" customWidth="1" min="17" max="17"/>
    <col width="8.33203125" customWidth="1" min="18" max="18"/>
    <col width="17.6640625" customWidth="1" min="19" max="19"/>
    <col width="8.33203125" customWidth="1" min="20" max="20"/>
    <col width="9.44140625" customWidth="1" min="21" max="21"/>
    <col width="8.33203125" customWidth="1" min="22" max="22"/>
    <col width="20.5546875" customWidth="1" min="23" max="23"/>
    <col width="22.44140625" customWidth="1" min="24" max="24"/>
  </cols>
  <sheetData>
    <row r="1" ht="22.5" customHeight="1" thickBot="1"/>
    <row r="2" ht="60" customHeight="1" thickBot="1">
      <c r="B2" s="110" t="inlineStr">
        <is>
          <t>ANKARA ADALET SARAYI PROJESİ SÜLSER MÜHENDİSLİK İLAVE İŞLER TAKİP FORMU</t>
        </is>
      </c>
      <c r="C2" s="150" t="n"/>
      <c r="D2" s="150" t="n"/>
      <c r="E2" s="150" t="n"/>
      <c r="F2" s="150" t="n"/>
      <c r="G2" s="150" t="n"/>
      <c r="H2" s="150" t="n"/>
      <c r="I2" s="150" t="n"/>
      <c r="J2" s="150" t="n"/>
      <c r="K2" s="150" t="n"/>
      <c r="L2" s="150" t="n"/>
      <c r="M2" s="150" t="n"/>
      <c r="N2" s="150" t="n"/>
      <c r="O2" s="150" t="n"/>
      <c r="P2" s="150" t="n"/>
      <c r="Q2" s="150" t="n"/>
      <c r="R2" s="150" t="n"/>
      <c r="S2" s="150" t="n"/>
      <c r="T2" s="150" t="n"/>
      <c r="U2" s="150" t="n"/>
      <c r="V2" s="150" t="n"/>
      <c r="W2" s="150" t="n"/>
      <c r="X2" s="151" t="n"/>
    </row>
    <row r="3" ht="37.5" customHeight="1" thickBot="1">
      <c r="B3" s="152" t="inlineStr">
        <is>
          <t>TUTANAK BİLGİLERİ</t>
        </is>
      </c>
      <c r="C3" s="150" t="n"/>
      <c r="D3" s="150" t="n"/>
      <c r="E3" s="150" t="n"/>
      <c r="F3" s="150" t="n"/>
      <c r="G3" s="151" t="n"/>
      <c r="H3" s="109" t="inlineStr">
        <is>
          <t>SÜLSER İŞÇİLİK</t>
        </is>
      </c>
      <c r="I3" s="150" t="n"/>
      <c r="J3" s="150" t="n"/>
      <c r="K3" s="151" t="n"/>
      <c r="L3" s="153" t="inlineStr">
        <is>
          <t>RECTEN ALINAN</t>
        </is>
      </c>
      <c r="M3" s="150" t="n"/>
      <c r="N3" s="150" t="n"/>
      <c r="O3" s="151" t="n"/>
      <c r="P3" s="154" t="inlineStr">
        <is>
          <t>REC MALZEME</t>
        </is>
      </c>
      <c r="Q3" s="150" t="n"/>
      <c r="R3" s="151" t="n"/>
      <c r="S3" s="155" t="inlineStr">
        <is>
          <t>REC MALZEME</t>
        </is>
      </c>
      <c r="T3" s="150" t="n"/>
      <c r="U3" s="150" t="n"/>
      <c r="V3" s="151" t="n"/>
      <c r="W3" s="48" t="inlineStr">
        <is>
          <t>RECTEN ALINAN</t>
        </is>
      </c>
      <c r="X3" s="27" t="inlineStr">
        <is>
          <t>TOPLAM TUTAR</t>
        </is>
      </c>
    </row>
    <row r="4" ht="48" customHeight="1" thickBot="1">
      <c r="B4" s="38" t="inlineStr">
        <is>
          <t>Hakediş No</t>
        </is>
      </c>
      <c r="C4" s="39" t="inlineStr">
        <is>
          <t>Tutanak No</t>
        </is>
      </c>
      <c r="D4" s="39" t="inlineStr">
        <is>
          <t>Tarih</t>
        </is>
      </c>
      <c r="E4" s="39" t="inlineStr">
        <is>
          <t>Blok</t>
        </is>
      </c>
      <c r="F4" s="39" t="inlineStr">
        <is>
          <t>Kat</t>
        </is>
      </c>
      <c r="G4" s="40" t="inlineStr">
        <is>
          <t>Mahal</t>
        </is>
      </c>
      <c r="H4" s="52" t="inlineStr">
        <is>
          <t>Usta Ad.</t>
        </is>
      </c>
      <c r="I4" s="36" t="inlineStr">
        <is>
          <t>Usta Birim 
Fiyat</t>
        </is>
      </c>
      <c r="J4" s="36" t="inlineStr">
        <is>
          <t>Yardımcı Ad.</t>
        </is>
      </c>
      <c r="K4" s="37" t="inlineStr">
        <is>
          <t>Yardımcı Birim 
Fiyat</t>
        </is>
      </c>
      <c r="L4" s="52" t="inlineStr">
        <is>
          <t>Usta Ad.</t>
        </is>
      </c>
      <c r="M4" s="36" t="inlineStr">
        <is>
          <t>Usta Birim 
Fiyat</t>
        </is>
      </c>
      <c r="N4" s="36" t="inlineStr">
        <is>
          <t>Yardımcı Ad.</t>
        </is>
      </c>
      <c r="O4" s="37" t="inlineStr">
        <is>
          <t>Yardımcı Birim 
Fiyat</t>
        </is>
      </c>
      <c r="P4" s="41" t="inlineStr">
        <is>
          <t>Kullanılan
 Malzeme Cinsi</t>
        </is>
      </c>
      <c r="Q4" s="42" t="inlineStr">
        <is>
          <t>MİKTAR</t>
        </is>
      </c>
      <c r="R4" s="43" t="inlineStr">
        <is>
          <t>Birim</t>
        </is>
      </c>
      <c r="S4" s="41" t="inlineStr">
        <is>
          <t>Kullanılan
 Malzeme Cinsi</t>
        </is>
      </c>
      <c r="T4" s="42" t="inlineStr">
        <is>
          <t>MİKTAR</t>
        </is>
      </c>
      <c r="U4" s="156" t="n"/>
      <c r="V4" s="43" t="inlineStr">
        <is>
          <t>Birim</t>
        </is>
      </c>
      <c r="W4" s="49" t="n"/>
      <c r="X4" s="28">
        <f>SUM(X5:X320)</f>
        <v/>
      </c>
    </row>
    <row r="5" ht="24.9" customHeight="1" thickBot="1">
      <c r="B5" s="157" t="n"/>
      <c r="C5" s="158" t="inlineStr">
        <is>
          <t>1</t>
        </is>
      </c>
      <c r="D5" s="159" t="n">
        <v>45967</v>
      </c>
      <c r="E5" s="160" t="inlineStr">
        <is>
          <t>C5</t>
        </is>
      </c>
      <c r="F5" s="158" t="inlineStr">
        <is>
          <t>0.20</t>
        </is>
      </c>
      <c r="G5" s="161" t="inlineStr">
        <is>
          <t>C-Z-104</t>
        </is>
      </c>
      <c r="H5" s="162" t="n">
        <v>1</v>
      </c>
      <c r="I5" s="163" t="n"/>
      <c r="J5" s="163" t="n"/>
      <c r="K5" s="164" t="n"/>
      <c r="L5" s="165" t="n"/>
      <c r="M5" s="166" t="n"/>
      <c r="N5" s="166" t="n"/>
      <c r="O5" s="167" t="n"/>
      <c r="P5" s="21" t="n"/>
      <c r="Q5" s="33" t="n"/>
      <c r="R5" s="22" t="n"/>
      <c r="S5" s="108" t="n"/>
      <c r="T5" s="168" t="n"/>
      <c r="U5" s="169" t="n"/>
      <c r="V5" s="108" t="n"/>
      <c r="W5" s="53" t="n">
        <v>2147</v>
      </c>
      <c r="X5" s="170" t="n"/>
    </row>
    <row r="6" ht="24.9" customHeight="1" thickBot="1">
      <c r="B6" s="171" t="n"/>
      <c r="C6" s="172" t="n"/>
      <c r="D6" s="172" t="n"/>
      <c r="E6" s="172" t="n"/>
      <c r="F6" s="172" t="n"/>
      <c r="G6" s="173" t="n"/>
      <c r="H6" s="171" t="n"/>
      <c r="I6" s="172" t="n"/>
      <c r="J6" s="172" t="n"/>
      <c r="K6" s="173" t="n"/>
      <c r="L6" s="171" t="n"/>
      <c r="M6" s="172" t="n"/>
      <c r="N6" s="172" t="n"/>
      <c r="O6" s="173" t="n"/>
      <c r="P6" s="23" t="n"/>
      <c r="Q6" s="34" t="n"/>
      <c r="R6" s="24" t="n"/>
      <c r="S6" s="50" t="n"/>
      <c r="T6" s="168" t="n"/>
      <c r="U6" s="169" t="n"/>
      <c r="V6" s="50" t="n"/>
      <c r="W6" s="54" t="n">
        <v>7216</v>
      </c>
      <c r="X6" s="174" t="n"/>
    </row>
    <row r="7" ht="24.9" customHeight="1" thickBot="1">
      <c r="B7" s="2" t="n"/>
      <c r="C7" s="3" t="inlineStr">
        <is>
          <t>2</t>
        </is>
      </c>
      <c r="D7" s="4" t="n">
        <v>45967</v>
      </c>
      <c r="E7" s="5" t="inlineStr">
        <is>
          <t>C</t>
        </is>
      </c>
      <c r="F7" s="3" t="inlineStr">
        <is>
          <t>-4.80</t>
        </is>
      </c>
      <c r="G7" s="6" t="inlineStr">
        <is>
          <t>C-AZ-202/203</t>
        </is>
      </c>
      <c r="H7" s="9" t="n">
        <v>2</v>
      </c>
      <c r="I7" s="10" t="n"/>
      <c r="J7" s="10" t="n">
        <v>1</v>
      </c>
      <c r="K7" s="11" t="n"/>
      <c r="L7" s="15" t="n"/>
      <c r="M7" s="16" t="n"/>
      <c r="N7" s="31" t="n"/>
      <c r="O7" s="17" t="n"/>
      <c r="P7" s="23" t="inlineStr">
        <is>
          <t>DU100</t>
        </is>
      </c>
      <c r="Q7" s="34" t="n">
        <v>70</v>
      </c>
      <c r="R7" s="24" t="inlineStr">
        <is>
          <t>MT</t>
        </is>
      </c>
      <c r="S7" s="50" t="n"/>
      <c r="T7" s="168" t="n"/>
      <c r="U7" s="169" t="n"/>
      <c r="V7" s="50" t="n"/>
      <c r="W7" s="54" t="n">
        <v>4210</v>
      </c>
      <c r="X7" s="29" t="n"/>
    </row>
    <row r="8" ht="24.9" customHeight="1" thickBot="1">
      <c r="B8" s="2" t="n"/>
      <c r="C8" s="172" t="n"/>
      <c r="D8" s="4" t="n"/>
      <c r="E8" s="5" t="n"/>
      <c r="F8" s="3" t="n"/>
      <c r="G8" s="6" t="n"/>
      <c r="H8" s="9" t="n"/>
      <c r="I8" s="10" t="n"/>
      <c r="J8" s="10" t="n"/>
      <c r="K8" s="11" t="n"/>
      <c r="L8" s="15" t="n"/>
      <c r="M8" s="16" t="n"/>
      <c r="N8" s="31" t="n"/>
      <c r="O8" s="17" t="n"/>
      <c r="P8" s="23" t="inlineStr">
        <is>
          <t>DU50</t>
        </is>
      </c>
      <c r="Q8" s="34" t="n">
        <v>15</v>
      </c>
      <c r="R8" s="24" t="inlineStr">
        <is>
          <t>MT</t>
        </is>
      </c>
      <c r="S8" s="50" t="n"/>
      <c r="T8" s="168" t="n"/>
      <c r="U8" s="169" t="n"/>
      <c r="V8" s="50" t="n"/>
      <c r="W8" s="54" t="n">
        <v>4338</v>
      </c>
      <c r="X8" s="30" t="n"/>
    </row>
    <row r="9" ht="24.9" customHeight="1" thickBot="1">
      <c r="B9" s="2" t="n"/>
      <c r="C9" s="3" t="inlineStr">
        <is>
          <t>3</t>
        </is>
      </c>
      <c r="D9" s="4" t="n">
        <v>45969</v>
      </c>
      <c r="E9" s="5" t="inlineStr">
        <is>
          <t>C7</t>
        </is>
      </c>
      <c r="F9" s="3" t="inlineStr">
        <is>
          <t>-10.60</t>
        </is>
      </c>
      <c r="G9" s="6" t="inlineStr">
        <is>
          <t>C-B1-519</t>
        </is>
      </c>
      <c r="H9" s="9" t="n">
        <v>1</v>
      </c>
      <c r="I9" s="10" t="n"/>
      <c r="J9" s="10" t="n">
        <v>1</v>
      </c>
      <c r="K9" s="11" t="n"/>
      <c r="L9" s="15" t="n"/>
      <c r="M9" s="16" t="n"/>
      <c r="N9" s="31" t="n"/>
      <c r="O9" s="17" t="n"/>
      <c r="P9" s="23" t="inlineStr">
        <is>
          <t>20LİK GAZBETON</t>
        </is>
      </c>
      <c r="Q9" s="34" t="n">
        <v>14.5</v>
      </c>
      <c r="R9" s="24" t="inlineStr">
        <is>
          <t>M2</t>
        </is>
      </c>
      <c r="S9" s="50" t="n"/>
      <c r="T9" s="168" t="n"/>
      <c r="U9" s="169" t="n"/>
      <c r="V9" s="50" t="n"/>
      <c r="W9" s="54" t="n"/>
      <c r="X9" s="30" t="n"/>
    </row>
    <row r="10" ht="24.9" customHeight="1" thickBot="1">
      <c r="B10" s="2" t="n"/>
      <c r="C10" s="3" t="inlineStr">
        <is>
          <t>4</t>
        </is>
      </c>
      <c r="D10" s="4" t="n">
        <v>45971</v>
      </c>
      <c r="E10" s="5" t="inlineStr">
        <is>
          <t>C5</t>
        </is>
      </c>
      <c r="F10" s="3" t="inlineStr">
        <is>
          <t>0.20</t>
        </is>
      </c>
      <c r="G10" s="6" t="n"/>
      <c r="H10" s="9" t="n">
        <v>1</v>
      </c>
      <c r="I10" s="10" t="n"/>
      <c r="J10" s="10" t="n">
        <v>1</v>
      </c>
      <c r="K10" s="11" t="n"/>
      <c r="L10" s="15" t="n"/>
      <c r="M10" s="16" t="n"/>
      <c r="N10" s="31" t="n"/>
      <c r="O10" s="17" t="n"/>
      <c r="P10" s="23" t="inlineStr">
        <is>
          <t>20LİK GAZBETON</t>
        </is>
      </c>
      <c r="Q10" s="34" t="n">
        <v>9.199999999999999</v>
      </c>
      <c r="R10" s="24" t="inlineStr">
        <is>
          <t>M2</t>
        </is>
      </c>
      <c r="S10" s="50" t="n"/>
      <c r="T10" s="168" t="n"/>
      <c r="U10" s="169" t="n"/>
      <c r="V10" s="50" t="n"/>
      <c r="W10" s="54" t="n"/>
      <c r="X10" s="29" t="n"/>
    </row>
    <row r="11" ht="24.9" customHeight="1" thickBot="1">
      <c r="B11" s="2" t="n"/>
      <c r="C11" s="3" t="inlineStr">
        <is>
          <t>5</t>
        </is>
      </c>
      <c r="D11" s="4" t="n">
        <v>45970</v>
      </c>
      <c r="E11" s="5" t="inlineStr">
        <is>
          <t>C7</t>
        </is>
      </c>
      <c r="F11" s="3" t="inlineStr">
        <is>
          <t>-4.80</t>
        </is>
      </c>
      <c r="G11" s="6" t="inlineStr">
        <is>
          <t>C-AZ-432</t>
        </is>
      </c>
      <c r="H11" s="9" t="n">
        <v>1</v>
      </c>
      <c r="I11" s="10" t="n"/>
      <c r="J11" s="10" t="n">
        <v>1</v>
      </c>
      <c r="K11" s="11" t="n"/>
      <c r="L11" s="15" t="n"/>
      <c r="M11" s="16" t="n"/>
      <c r="N11" s="31" t="n"/>
      <c r="O11" s="17" t="n"/>
      <c r="P11" s="23" t="n"/>
      <c r="Q11" s="34" t="n"/>
      <c r="R11" s="24" t="n"/>
      <c r="S11" s="50" t="n"/>
      <c r="T11" s="168" t="n"/>
      <c r="U11" s="169" t="n"/>
      <c r="V11" s="50" t="n"/>
      <c r="W11" s="54" t="n"/>
      <c r="X11" s="30" t="n"/>
    </row>
    <row r="12" ht="24.9" customHeight="1" thickBot="1">
      <c r="B12" s="2" t="n"/>
      <c r="C12" s="3" t="inlineStr">
        <is>
          <t>6</t>
        </is>
      </c>
      <c r="D12" s="4" t="n">
        <v>45970</v>
      </c>
      <c r="E12" s="5" t="inlineStr">
        <is>
          <t>C6</t>
        </is>
      </c>
      <c r="F12" s="3" t="inlineStr">
        <is>
          <t>-4.80</t>
        </is>
      </c>
      <c r="G12" s="6" t="inlineStr">
        <is>
          <t>C-AZ-257</t>
        </is>
      </c>
      <c r="H12" s="44" t="n">
        <v>1</v>
      </c>
      <c r="I12" s="10" t="n"/>
      <c r="J12" s="45" t="n">
        <v>1</v>
      </c>
      <c r="K12" s="11" t="n"/>
      <c r="L12" s="15" t="n"/>
      <c r="M12" s="16" t="n"/>
      <c r="N12" s="31" t="n"/>
      <c r="O12" s="17" t="n"/>
      <c r="P12" s="23" t="inlineStr">
        <is>
          <t>15LİK GAZBETON</t>
        </is>
      </c>
      <c r="Q12" s="34" t="n">
        <v>4.5</v>
      </c>
      <c r="R12" s="24" t="inlineStr">
        <is>
          <t>M2</t>
        </is>
      </c>
      <c r="S12" s="50" t="n"/>
      <c r="T12" s="168" t="n"/>
      <c r="U12" s="169" t="n"/>
      <c r="V12" s="50" t="n"/>
      <c r="W12" s="54" t="n"/>
      <c r="X12" s="29" t="n"/>
    </row>
    <row r="13" ht="24.9" customHeight="1" thickBot="1">
      <c r="B13" s="2" t="n"/>
      <c r="C13" s="3" t="inlineStr">
        <is>
          <t>7</t>
        </is>
      </c>
      <c r="D13" s="4" t="n">
        <v>45986</v>
      </c>
      <c r="E13" s="5" t="inlineStr">
        <is>
          <t>C3</t>
        </is>
      </c>
      <c r="F13" s="3" t="inlineStr">
        <is>
          <t>0.20</t>
        </is>
      </c>
      <c r="G13" s="6" t="inlineStr">
        <is>
          <t>C-Z-083</t>
        </is>
      </c>
      <c r="H13" s="44" t="n">
        <v>0.5</v>
      </c>
      <c r="I13" s="10" t="n"/>
      <c r="J13" s="45" t="n">
        <v>0.5</v>
      </c>
      <c r="K13" s="11" t="n"/>
      <c r="L13" s="57" t="n">
        <v>0.5</v>
      </c>
      <c r="M13" s="16" t="n"/>
      <c r="N13" s="31" t="n">
        <v>0.5</v>
      </c>
      <c r="O13" s="17" t="n"/>
      <c r="P13" s="23" t="inlineStr">
        <is>
          <t>DU50</t>
        </is>
      </c>
      <c r="Q13" s="34" t="n">
        <v>19.2</v>
      </c>
      <c r="R13" s="24" t="inlineStr">
        <is>
          <t>MT</t>
        </is>
      </c>
      <c r="S13" s="50" t="inlineStr">
        <is>
          <t>DU50</t>
        </is>
      </c>
      <c r="T13" s="168" t="n">
        <v>19.2</v>
      </c>
      <c r="U13" s="169" t="n"/>
      <c r="V13" s="50" t="n"/>
      <c r="W13" s="54" t="n">
        <v>3286.47</v>
      </c>
      <c r="X13" s="29" t="n"/>
    </row>
    <row r="14" ht="24.9" customHeight="1" thickBot="1">
      <c r="B14" s="2" t="n"/>
      <c r="C14" s="3" t="inlineStr">
        <is>
          <t>8</t>
        </is>
      </c>
      <c r="D14" s="4" t="n">
        <v>45986</v>
      </c>
      <c r="E14" s="5" t="inlineStr">
        <is>
          <t>C6</t>
        </is>
      </c>
      <c r="F14" s="3" t="inlineStr">
        <is>
          <t>-4.80</t>
        </is>
      </c>
      <c r="G14" s="6" t="inlineStr">
        <is>
          <t>C-AZ-401</t>
        </is>
      </c>
      <c r="H14" s="9" t="n">
        <v>0.5</v>
      </c>
      <c r="I14" s="10" t="n"/>
      <c r="J14" s="10" t="n">
        <v>0.5</v>
      </c>
      <c r="K14" s="11" t="n"/>
      <c r="L14" s="15" t="n"/>
      <c r="M14" s="16" t="n"/>
      <c r="N14" s="31" t="n"/>
      <c r="O14" s="17" t="n"/>
      <c r="P14" s="23" t="inlineStr">
        <is>
          <t>DU50</t>
        </is>
      </c>
      <c r="Q14" s="34" t="n">
        <v>14.4</v>
      </c>
      <c r="R14" s="24" t="inlineStr">
        <is>
          <t>MT</t>
        </is>
      </c>
      <c r="S14" s="50" t="n"/>
      <c r="T14" s="168" t="n"/>
      <c r="U14" s="169" t="n"/>
      <c r="V14" s="50" t="n"/>
      <c r="W14" s="54" t="n"/>
      <c r="X14" s="30" t="n"/>
    </row>
    <row r="15" ht="24.9" customHeight="1" thickBot="1">
      <c r="B15" s="2" t="n"/>
      <c r="C15" s="3" t="inlineStr">
        <is>
          <t>9</t>
        </is>
      </c>
      <c r="D15" s="4" t="n">
        <v>45988</v>
      </c>
      <c r="E15" s="5" t="inlineStr">
        <is>
          <t>C6</t>
        </is>
      </c>
      <c r="F15" s="3" t="inlineStr">
        <is>
          <t>-10.20</t>
        </is>
      </c>
      <c r="G15" s="6" t="inlineStr">
        <is>
          <t>C-B1-159A</t>
        </is>
      </c>
      <c r="H15" s="9" t="n">
        <v>1</v>
      </c>
      <c r="I15" s="10" t="n"/>
      <c r="J15" s="10" t="n">
        <v>1</v>
      </c>
      <c r="K15" s="11" t="n"/>
      <c r="L15" s="15" t="n"/>
      <c r="M15" s="16" t="n"/>
      <c r="N15" s="31" t="n"/>
      <c r="O15" s="17" t="n"/>
      <c r="P15" s="23" t="inlineStr">
        <is>
          <t>15LİK GAZBETON</t>
        </is>
      </c>
      <c r="Q15" s="34" t="n">
        <v>4.68</v>
      </c>
      <c r="R15" s="24" t="inlineStr">
        <is>
          <t>M2</t>
        </is>
      </c>
      <c r="S15" s="50" t="n"/>
      <c r="T15" s="168" t="n"/>
      <c r="U15" s="169" t="n"/>
      <c r="V15" s="50" t="n"/>
      <c r="W15" s="54" t="n"/>
      <c r="X15" s="29" t="n"/>
    </row>
    <row r="16" ht="24.9" customHeight="1" thickBot="1">
      <c r="B16" s="2" t="n"/>
      <c r="C16" s="3" t="inlineStr">
        <is>
          <t>10</t>
        </is>
      </c>
      <c r="D16" s="4" t="n">
        <v>45989</v>
      </c>
      <c r="E16" s="5" t="inlineStr">
        <is>
          <t>C5</t>
        </is>
      </c>
      <c r="F16" s="3" t="inlineStr">
        <is>
          <t>0.20</t>
        </is>
      </c>
      <c r="G16" s="6" t="inlineStr">
        <is>
          <t>C-Z-115</t>
        </is>
      </c>
      <c r="H16" s="9" t="n">
        <v>2</v>
      </c>
      <c r="I16" s="10" t="n"/>
      <c r="J16" s="10" t="n">
        <v>2</v>
      </c>
      <c r="K16" s="11" t="n"/>
      <c r="L16" s="15" t="n"/>
      <c r="M16" s="16" t="n"/>
      <c r="N16" s="31" t="n"/>
      <c r="O16" s="17" t="n"/>
      <c r="P16" s="23" t="inlineStr">
        <is>
          <t>FX ULTRA</t>
        </is>
      </c>
      <c r="Q16" s="34" t="n">
        <v>35.82</v>
      </c>
      <c r="R16" s="24" t="inlineStr">
        <is>
          <t>M2</t>
        </is>
      </c>
      <c r="S16" s="50" t="n"/>
      <c r="T16" s="168" t="n"/>
      <c r="U16" s="169" t="n"/>
      <c r="V16" s="50" t="n"/>
      <c r="W16" s="54" t="n"/>
      <c r="X16" s="29" t="n"/>
    </row>
    <row r="17" ht="24.9" customHeight="1" thickBot="1">
      <c r="B17" s="2" t="n"/>
      <c r="C17" s="172" t="n"/>
      <c r="D17" s="4" t="n"/>
      <c r="E17" s="5" t="n"/>
      <c r="F17" s="3" t="n"/>
      <c r="G17" s="6" t="n"/>
      <c r="H17" s="9" t="n"/>
      <c r="I17" s="10" t="n"/>
      <c r="J17" s="10" t="n"/>
      <c r="K17" s="11" t="n"/>
      <c r="L17" s="15" t="n"/>
      <c r="M17" s="16" t="n"/>
      <c r="N17" s="31" t="n"/>
      <c r="O17" s="17" t="n"/>
      <c r="P17" s="23" t="inlineStr">
        <is>
          <t>DC100</t>
        </is>
      </c>
      <c r="Q17" s="34" t="n">
        <v>43.2</v>
      </c>
      <c r="R17" s="24" t="inlineStr">
        <is>
          <t>MT</t>
        </is>
      </c>
      <c r="S17" s="50" t="n"/>
      <c r="T17" s="168" t="n"/>
      <c r="U17" s="169" t="n"/>
      <c r="V17" s="50" t="n"/>
      <c r="W17" s="54" t="n"/>
      <c r="X17" s="30" t="n"/>
    </row>
    <row r="18" ht="24.9" customHeight="1" thickBot="1">
      <c r="B18" s="2" t="n"/>
      <c r="C18" s="3" t="inlineStr">
        <is>
          <t>11</t>
        </is>
      </c>
      <c r="D18" s="4" t="n">
        <v>45990</v>
      </c>
      <c r="E18" s="5" t="inlineStr">
        <is>
          <t>C6</t>
        </is>
      </c>
      <c r="F18" s="3" t="inlineStr">
        <is>
          <t>-4.80</t>
        </is>
      </c>
      <c r="G18" s="6" t="inlineStr">
        <is>
          <t>C-AZ-401</t>
        </is>
      </c>
      <c r="H18" s="9" t="n">
        <v>1</v>
      </c>
      <c r="I18" s="10" t="n"/>
      <c r="J18" s="10" t="n">
        <v>1</v>
      </c>
      <c r="K18" s="11" t="n"/>
      <c r="L18" s="15" t="n">
        <v>0.5</v>
      </c>
      <c r="M18" s="16" t="n"/>
      <c r="N18" s="31" t="n">
        <v>0.5</v>
      </c>
      <c r="O18" s="17" t="n"/>
      <c r="P18" s="23" t="inlineStr">
        <is>
          <t>DC50</t>
        </is>
      </c>
      <c r="Q18" s="34" t="n">
        <v>19.2</v>
      </c>
      <c r="R18" s="24" t="inlineStr">
        <is>
          <t>MT</t>
        </is>
      </c>
      <c r="S18" s="50" t="inlineStr">
        <is>
          <t>DC50</t>
        </is>
      </c>
      <c r="T18" s="168" t="n">
        <v>19.2</v>
      </c>
      <c r="U18" s="169" t="n"/>
      <c r="V18" s="50" t="inlineStr">
        <is>
          <t>MT</t>
        </is>
      </c>
      <c r="W18" s="54" t="n"/>
      <c r="X18" s="29" t="n"/>
    </row>
    <row r="19" ht="24.9" customHeight="1" thickBot="1">
      <c r="B19" s="2" t="n"/>
      <c r="C19" s="3" t="inlineStr">
        <is>
          <t>12</t>
        </is>
      </c>
      <c r="D19" s="4" t="n">
        <v>45992</v>
      </c>
      <c r="E19" s="5" t="inlineStr">
        <is>
          <t>C3</t>
        </is>
      </c>
      <c r="F19" s="3" t="inlineStr">
        <is>
          <t>5.20</t>
        </is>
      </c>
      <c r="G19" s="6" t="inlineStr">
        <is>
          <t>C-1-067</t>
        </is>
      </c>
      <c r="H19" s="9" t="n">
        <v>1</v>
      </c>
      <c r="I19" s="10" t="n"/>
      <c r="J19" s="10" t="n">
        <v>1</v>
      </c>
      <c r="K19" s="11" t="n"/>
      <c r="L19" s="15" t="n"/>
      <c r="M19" s="16" t="n"/>
      <c r="N19" s="31" t="n"/>
      <c r="O19" s="17" t="n"/>
      <c r="P19" s="23" t="inlineStr">
        <is>
          <t>DC100</t>
        </is>
      </c>
      <c r="Q19" s="34" t="n">
        <v>2.6</v>
      </c>
      <c r="R19" s="24" t="inlineStr">
        <is>
          <t>MT</t>
        </is>
      </c>
      <c r="S19" s="50" t="n"/>
      <c r="T19" s="168" t="n"/>
      <c r="U19" s="169" t="n"/>
      <c r="V19" s="50" t="n"/>
      <c r="W19" s="54" t="n"/>
      <c r="X19" s="29" t="n"/>
    </row>
    <row r="20" ht="24.9" customHeight="1" thickBot="1">
      <c r="B20" s="2" t="n"/>
      <c r="C20" s="172" t="n"/>
      <c r="D20" s="4" t="n"/>
      <c r="E20" s="5" t="n"/>
      <c r="F20" s="3" t="n"/>
      <c r="G20" s="6" t="n"/>
      <c r="H20" s="9" t="n"/>
      <c r="I20" s="10" t="n"/>
      <c r="J20" s="10" t="n"/>
      <c r="K20" s="11" t="n"/>
      <c r="L20" s="15" t="n"/>
      <c r="M20" s="16" t="n"/>
      <c r="N20" s="31" t="n"/>
      <c r="O20" s="17" t="n"/>
      <c r="P20" s="23" t="inlineStr">
        <is>
          <t>DU100</t>
        </is>
      </c>
      <c r="Q20" s="34" t="n">
        <v>9.6</v>
      </c>
      <c r="R20" s="24" t="inlineStr">
        <is>
          <t>MT</t>
        </is>
      </c>
      <c r="S20" s="50" t="n"/>
      <c r="T20" s="168" t="n"/>
      <c r="U20" s="169" t="n"/>
      <c r="V20" s="50" t="n"/>
      <c r="W20" s="54" t="n"/>
      <c r="X20" s="29" t="n"/>
    </row>
    <row r="21" ht="24.9" customHeight="1" thickBot="1">
      <c r="B21" s="2" t="n"/>
      <c r="C21" s="3" t="inlineStr">
        <is>
          <t>13</t>
        </is>
      </c>
      <c r="D21" s="4" t="n">
        <v>45993</v>
      </c>
      <c r="E21" s="5" t="inlineStr">
        <is>
          <t>C6</t>
        </is>
      </c>
      <c r="F21" s="3" t="inlineStr">
        <is>
          <t>-10.20</t>
        </is>
      </c>
      <c r="G21" s="6" t="inlineStr">
        <is>
          <t>C-B1-459</t>
        </is>
      </c>
      <c r="H21" s="9" t="n">
        <v>3</v>
      </c>
      <c r="I21" s="10" t="n"/>
      <c r="J21" s="10" t="n"/>
      <c r="K21" s="11" t="n"/>
      <c r="L21" s="15" t="n"/>
      <c r="M21" s="16" t="n"/>
      <c r="N21" s="31" t="n"/>
      <c r="O21" s="17" t="n"/>
      <c r="P21" s="23" t="inlineStr">
        <is>
          <t>15LİK GAZBETON</t>
        </is>
      </c>
      <c r="Q21" s="34" t="n">
        <v>31.45</v>
      </c>
      <c r="R21" s="24" t="inlineStr">
        <is>
          <t>M2</t>
        </is>
      </c>
      <c r="S21" s="50" t="n"/>
      <c r="T21" s="168" t="n"/>
      <c r="U21" s="169" t="n"/>
      <c r="V21" s="50" t="n"/>
      <c r="W21" s="54" t="n"/>
      <c r="X21" s="29" t="n"/>
    </row>
    <row r="22" ht="24.9" customHeight="1" thickBot="1">
      <c r="B22" s="2" t="n"/>
      <c r="C22" s="3" t="n"/>
      <c r="D22" s="4" t="n"/>
      <c r="E22" s="5" t="n"/>
      <c r="F22" s="3" t="n"/>
      <c r="G22" s="6" t="n"/>
      <c r="H22" s="9" t="n"/>
      <c r="I22" s="10" t="n"/>
      <c r="J22" s="10" t="n"/>
      <c r="K22" s="11" t="n"/>
      <c r="L22" s="15" t="n"/>
      <c r="M22" s="16" t="n"/>
      <c r="N22" s="31" t="n"/>
      <c r="O22" s="17" t="n"/>
      <c r="P22" s="23" t="n"/>
      <c r="Q22" s="34" t="n"/>
      <c r="R22" s="24" t="n"/>
      <c r="S22" s="50" t="n"/>
      <c r="T22" s="168" t="n"/>
      <c r="U22" s="169" t="n"/>
      <c r="V22" s="50" t="n"/>
      <c r="W22" s="54" t="n"/>
      <c r="X22" s="30" t="n"/>
    </row>
    <row r="23" ht="24.9" customHeight="1" thickBot="1">
      <c r="B23" s="7" t="n"/>
      <c r="C23" s="3" t="n"/>
      <c r="D23" s="4" t="n"/>
      <c r="E23" s="5" t="n"/>
      <c r="F23" s="3" t="n"/>
      <c r="G23" s="6" t="n"/>
      <c r="H23" s="12" t="n"/>
      <c r="I23" s="13" t="n"/>
      <c r="J23" s="13" t="n"/>
      <c r="K23" s="14" t="n"/>
      <c r="L23" s="18" t="n"/>
      <c r="M23" s="19" t="n"/>
      <c r="N23" s="32" t="n"/>
      <c r="O23" s="20" t="n"/>
      <c r="P23" s="25" t="n"/>
      <c r="Q23" s="35" t="n"/>
      <c r="R23" s="26" t="n"/>
      <c r="S23" s="51" t="n"/>
      <c r="T23" s="168" t="n"/>
      <c r="U23" s="169" t="n"/>
      <c r="V23" s="51" t="n"/>
      <c r="W23" s="55" t="n"/>
      <c r="X23" s="1" t="n"/>
    </row>
    <row r="24" ht="24.9" customHeight="1" thickBot="1">
      <c r="B24" s="7" t="n"/>
      <c r="C24" s="3" t="n"/>
      <c r="D24" s="4" t="n"/>
      <c r="E24" s="5" t="n"/>
      <c r="F24" s="3" t="n"/>
      <c r="G24" s="6" t="n"/>
      <c r="H24" s="12" t="n"/>
      <c r="I24" s="13" t="n"/>
      <c r="J24" s="13" t="n"/>
      <c r="K24" s="14" t="n"/>
      <c r="L24" s="18" t="n"/>
      <c r="M24" s="19" t="n"/>
      <c r="N24" s="32" t="n"/>
      <c r="O24" s="20" t="n"/>
      <c r="P24" s="25" t="n"/>
      <c r="Q24" s="35" t="n"/>
      <c r="R24" s="26" t="n"/>
      <c r="S24" s="51" t="n"/>
      <c r="T24" s="168" t="n"/>
      <c r="U24" s="169" t="n"/>
      <c r="V24" s="51" t="n"/>
      <c r="W24" s="55" t="n"/>
      <c r="X24" s="1" t="n"/>
    </row>
    <row r="25" ht="24.9" customHeight="1" thickBot="1">
      <c r="B25" s="7" t="n"/>
      <c r="C25" s="3" t="n">
        <v>17</v>
      </c>
      <c r="D25" s="4" t="n">
        <v>46007</v>
      </c>
      <c r="E25" s="5" t="inlineStr">
        <is>
          <t>C7</t>
        </is>
      </c>
      <c r="F25" s="3" t="inlineStr">
        <is>
          <t>-4.80</t>
        </is>
      </c>
      <c r="G25" s="6" t="inlineStr">
        <is>
          <t>C-AZ-198/189/193</t>
        </is>
      </c>
      <c r="H25" s="12" t="n">
        <v>2</v>
      </c>
      <c r="I25" s="13" t="n"/>
      <c r="J25" s="13" t="n">
        <v>1</v>
      </c>
      <c r="K25" s="14" t="n"/>
      <c r="L25" s="18" t="n"/>
      <c r="M25" s="19" t="n"/>
      <c r="N25" s="32" t="n"/>
      <c r="O25" s="20" t="n"/>
      <c r="P25" s="25" t="inlineStr">
        <is>
          <t>DU100</t>
        </is>
      </c>
      <c r="Q25" s="35" t="n">
        <v>2</v>
      </c>
      <c r="R25" s="26" t="inlineStr">
        <is>
          <t>MT</t>
        </is>
      </c>
      <c r="S25" s="51" t="n"/>
      <c r="T25" s="168" t="n"/>
      <c r="U25" s="169" t="n"/>
      <c r="V25" s="51" t="n"/>
      <c r="W25" s="55" t="n"/>
      <c r="X25" s="1" t="n"/>
    </row>
    <row r="26" ht="24.9" customHeight="1" thickBot="1">
      <c r="B26" s="7" t="n"/>
      <c r="C26" s="3" t="n"/>
      <c r="D26" s="4" t="n"/>
      <c r="E26" s="5" t="n"/>
      <c r="F26" s="3" t="n"/>
      <c r="G26" s="6" t="n"/>
      <c r="H26" s="12" t="n"/>
      <c r="I26" s="13" t="n"/>
      <c r="J26" s="13" t="n"/>
      <c r="K26" s="14" t="n"/>
      <c r="L26" s="18" t="n"/>
      <c r="M26" s="19" t="n"/>
      <c r="N26" s="32" t="n"/>
      <c r="O26" s="20" t="n"/>
      <c r="P26" s="25" t="inlineStr">
        <is>
          <t>DC100</t>
        </is>
      </c>
      <c r="Q26" s="35" t="n">
        <v>9.699999999999999</v>
      </c>
      <c r="R26" s="26" t="inlineStr">
        <is>
          <t>MT</t>
        </is>
      </c>
      <c r="S26" s="51" t="n"/>
      <c r="T26" s="168" t="n"/>
      <c r="U26" s="169" t="n"/>
      <c r="V26" s="51" t="n"/>
      <c r="W26" s="55" t="n"/>
      <c r="X26" s="1" t="n"/>
    </row>
    <row r="27" ht="24.9" customHeight="1" thickBot="1">
      <c r="B27" s="7" t="n"/>
      <c r="C27" s="3" t="n"/>
      <c r="D27" s="4" t="n"/>
      <c r="E27" s="5" t="n"/>
      <c r="F27" s="3" t="n"/>
      <c r="G27" s="6" t="n"/>
      <c r="H27" s="12" t="n"/>
      <c r="I27" s="13" t="n"/>
      <c r="J27" s="13" t="n"/>
      <c r="K27" s="14" t="n"/>
      <c r="L27" s="18" t="n"/>
      <c r="M27" s="19" t="n"/>
      <c r="N27" s="32" t="n"/>
      <c r="O27" s="20" t="n"/>
      <c r="P27" s="25" t="inlineStr">
        <is>
          <t>DU50</t>
        </is>
      </c>
      <c r="Q27" s="35" t="n">
        <v>4.85</v>
      </c>
      <c r="R27" s="26" t="inlineStr">
        <is>
          <t>MT</t>
        </is>
      </c>
      <c r="S27" s="51" t="n"/>
      <c r="T27" s="168" t="n"/>
      <c r="U27" s="169" t="n"/>
      <c r="V27" s="51" t="n"/>
      <c r="W27" s="55" t="n"/>
      <c r="X27" s="1" t="n"/>
    </row>
    <row r="28" ht="24.9" customHeight="1" thickBot="1">
      <c r="B28" s="7" t="n"/>
      <c r="C28" s="3" t="n"/>
      <c r="D28" s="4" t="n"/>
      <c r="E28" s="5" t="n"/>
      <c r="F28" s="3" t="n"/>
      <c r="G28" s="6" t="n"/>
      <c r="H28" s="12" t="n"/>
      <c r="I28" s="13" t="n"/>
      <c r="J28" s="13" t="n"/>
      <c r="K28" s="14" t="n"/>
      <c r="L28" s="18" t="n"/>
      <c r="M28" s="19" t="n"/>
      <c r="N28" s="32" t="n"/>
      <c r="O28" s="20" t="n"/>
      <c r="P28" s="25" t="inlineStr">
        <is>
          <t>FX ULTRA</t>
        </is>
      </c>
      <c r="Q28" s="35" t="n">
        <v>6.5</v>
      </c>
      <c r="R28" s="26" t="inlineStr">
        <is>
          <t>M2</t>
        </is>
      </c>
      <c r="S28" s="51" t="n"/>
      <c r="T28" s="168" t="n"/>
      <c r="U28" s="169" t="n"/>
      <c r="V28" s="51" t="n"/>
      <c r="W28" s="55" t="n"/>
      <c r="X28" s="1" t="n"/>
    </row>
    <row r="29" ht="24.9" customHeight="1" thickBot="1">
      <c r="B29" s="7" t="n"/>
      <c r="C29" s="3" t="inlineStr">
        <is>
          <t>18</t>
        </is>
      </c>
      <c r="D29" s="4" t="n">
        <v>46007</v>
      </c>
      <c r="E29" s="5" t="inlineStr">
        <is>
          <t>C6</t>
        </is>
      </c>
      <c r="F29" s="3" t="inlineStr">
        <is>
          <t>-10.20</t>
        </is>
      </c>
      <c r="G29" s="6" t="inlineStr">
        <is>
          <t>C-B1-174-175-176</t>
        </is>
      </c>
      <c r="H29" s="12" t="n">
        <v>1</v>
      </c>
      <c r="I29" s="13" t="n"/>
      <c r="J29" s="13" t="n">
        <v>1</v>
      </c>
      <c r="K29" s="14" t="n"/>
      <c r="L29" s="18" t="n"/>
      <c r="M29" s="19" t="n"/>
      <c r="N29" s="32" t="n"/>
      <c r="O29" s="20" t="n"/>
      <c r="P29" s="25" t="n"/>
      <c r="Q29" s="35" t="n"/>
      <c r="R29" s="26" t="n"/>
      <c r="S29" s="51" t="n"/>
      <c r="T29" s="168" t="n"/>
      <c r="U29" s="169" t="n"/>
      <c r="V29" s="51" t="n"/>
      <c r="W29" s="55" t="n"/>
      <c r="X29" s="1" t="n"/>
    </row>
    <row r="30" ht="24.9" customHeight="1" thickBot="1">
      <c r="B30" s="7" t="n"/>
      <c r="C30" s="3" t="inlineStr">
        <is>
          <t>19</t>
        </is>
      </c>
      <c r="D30" s="4" t="n">
        <v>46007</v>
      </c>
      <c r="E30" s="5" t="inlineStr">
        <is>
          <t>C5</t>
        </is>
      </c>
      <c r="F30" s="3" t="inlineStr">
        <is>
          <t>0.20</t>
        </is>
      </c>
      <c r="G30" s="6" t="inlineStr">
        <is>
          <t>C-Z-105/106/107/108</t>
        </is>
      </c>
      <c r="H30" s="12" t="n">
        <v>6</v>
      </c>
      <c r="I30" s="13" t="n"/>
      <c r="J30" s="13" t="n">
        <v>4</v>
      </c>
      <c r="K30" s="14" t="n"/>
      <c r="L30" s="18" t="n"/>
      <c r="M30" s="19" t="n"/>
      <c r="N30" s="32" t="n"/>
      <c r="O30" s="20" t="n"/>
      <c r="P30" s="25" t="inlineStr">
        <is>
          <t>DU100</t>
        </is>
      </c>
      <c r="Q30" s="35" t="n">
        <v>121.5</v>
      </c>
      <c r="R30" s="26" t="inlineStr">
        <is>
          <t>MT</t>
        </is>
      </c>
      <c r="S30" s="51" t="n"/>
      <c r="T30" s="168" t="n"/>
      <c r="U30" s="169" t="n"/>
      <c r="V30" s="51" t="n"/>
      <c r="W30" s="55" t="n"/>
      <c r="X30" s="1" t="n"/>
    </row>
    <row r="31" ht="24.9" customHeight="1" thickBot="1">
      <c r="B31" s="7" t="n"/>
      <c r="C31" s="3" t="n"/>
      <c r="D31" s="4" t="n"/>
      <c r="E31" s="5" t="n"/>
      <c r="F31" s="3" t="n"/>
      <c r="G31" s="6" t="n"/>
      <c r="H31" s="12" t="n"/>
      <c r="I31" s="13" t="n"/>
      <c r="J31" s="13" t="n"/>
      <c r="K31" s="14" t="n"/>
      <c r="L31" s="18" t="n"/>
      <c r="M31" s="19" t="n"/>
      <c r="N31" s="32" t="n"/>
      <c r="O31" s="20" t="n"/>
      <c r="P31" s="25" t="inlineStr">
        <is>
          <t>FX ULTRA</t>
        </is>
      </c>
      <c r="Q31" s="35" t="n">
        <v>200.64</v>
      </c>
      <c r="R31" s="26" t="inlineStr">
        <is>
          <t>M2</t>
        </is>
      </c>
      <c r="S31" s="51" t="n"/>
      <c r="T31" s="168" t="n"/>
      <c r="U31" s="169" t="n"/>
      <c r="V31" s="51" t="n"/>
      <c r="W31" s="55" t="n"/>
      <c r="X31" s="1" t="n"/>
    </row>
    <row r="32" ht="24.9" customHeight="1" thickBot="1">
      <c r="B32" s="7" t="n"/>
      <c r="C32" s="3" t="inlineStr">
        <is>
          <t>20</t>
        </is>
      </c>
      <c r="D32" s="4" t="n">
        <v>46008</v>
      </c>
      <c r="E32" s="5" t="inlineStr">
        <is>
          <t>C5</t>
        </is>
      </c>
      <c r="F32" s="3" t="inlineStr">
        <is>
          <t>10.20</t>
        </is>
      </c>
      <c r="G32" s="6" t="inlineStr">
        <is>
          <t>C-2-213/214</t>
        </is>
      </c>
      <c r="H32" s="12" t="n">
        <v>2</v>
      </c>
      <c r="I32" s="13" t="n"/>
      <c r="J32" s="13" t="n"/>
      <c r="K32" s="14" t="n"/>
      <c r="L32" s="18" t="n">
        <v>1</v>
      </c>
      <c r="M32" s="19" t="n"/>
      <c r="N32" s="32" t="n"/>
      <c r="O32" s="20" t="n"/>
      <c r="P32" s="25" t="n"/>
      <c r="Q32" s="35" t="n"/>
      <c r="R32" s="26" t="n"/>
      <c r="S32" s="51" t="n"/>
      <c r="T32" s="168" t="n"/>
      <c r="U32" s="169" t="n"/>
      <c r="V32" s="51" t="n"/>
      <c r="W32" s="55" t="n">
        <v>2922</v>
      </c>
      <c r="X32" s="1" t="n"/>
    </row>
    <row r="33" ht="24.9" customHeight="1" thickBot="1">
      <c r="B33" s="7" t="n"/>
      <c r="C33" s="3" t="inlineStr">
        <is>
          <t>21</t>
        </is>
      </c>
      <c r="D33" s="4" t="n">
        <v>46008</v>
      </c>
      <c r="E33" s="5" t="inlineStr">
        <is>
          <t>C7</t>
        </is>
      </c>
      <c r="F33" s="3" t="inlineStr">
        <is>
          <t>-4,80</t>
        </is>
      </c>
      <c r="G33" s="6" t="inlineStr">
        <is>
          <t>C-AZ-442</t>
        </is>
      </c>
      <c r="H33" s="12" t="n">
        <v>1</v>
      </c>
      <c r="I33" s="13" t="n"/>
      <c r="J33" s="13" t="n">
        <v>1</v>
      </c>
      <c r="K33" s="14" t="n"/>
      <c r="L33" s="18" t="n"/>
      <c r="M33" s="19" t="n"/>
      <c r="N33" s="32" t="n"/>
      <c r="O33" s="20" t="n"/>
      <c r="P33" s="25" t="n"/>
      <c r="Q33" s="35" t="n"/>
      <c r="R33" s="26" t="n"/>
      <c r="S33" s="51" t="n"/>
      <c r="T33" s="168" t="n"/>
      <c r="U33" s="169" t="n"/>
      <c r="V33" s="51" t="n"/>
      <c r="W33" s="55" t="n"/>
      <c r="X33" s="1" t="n"/>
    </row>
    <row r="34" ht="24.9" customHeight="1" thickBot="1">
      <c r="B34" s="7" t="n"/>
      <c r="C34" s="3" t="inlineStr">
        <is>
          <t>22</t>
        </is>
      </c>
      <c r="D34" s="4" t="n">
        <v>46008</v>
      </c>
      <c r="E34" s="5" t="inlineStr">
        <is>
          <t>C6</t>
        </is>
      </c>
      <c r="F34" s="3" t="inlineStr">
        <is>
          <t>-4.80</t>
        </is>
      </c>
      <c r="G34" s="6" t="inlineStr">
        <is>
          <t>C-AZ-289</t>
        </is>
      </c>
      <c r="H34" s="12" t="n">
        <v>1</v>
      </c>
      <c r="I34" s="13" t="n"/>
      <c r="J34" s="13" t="n">
        <v>1</v>
      </c>
      <c r="K34" s="14" t="n"/>
      <c r="L34" s="18" t="n"/>
      <c r="M34" s="19" t="n"/>
      <c r="N34" s="32" t="n"/>
      <c r="O34" s="20" t="n"/>
      <c r="P34" s="25" t="n"/>
      <c r="Q34" s="35" t="n"/>
      <c r="R34" s="26" t="n"/>
      <c r="S34" s="51" t="n"/>
      <c r="T34" s="168" t="n"/>
      <c r="U34" s="169" t="n"/>
      <c r="V34" s="51" t="n"/>
      <c r="W34" s="55" t="n">
        <v>2922</v>
      </c>
      <c r="X34" s="1" t="n"/>
    </row>
    <row r="35" ht="24.9" customHeight="1" thickBot="1">
      <c r="B35" s="7" t="n"/>
      <c r="C35" s="3" t="inlineStr">
        <is>
          <t>23</t>
        </is>
      </c>
      <c r="D35" s="4" t="n">
        <v>46009</v>
      </c>
      <c r="E35" s="5" t="inlineStr">
        <is>
          <t>C3</t>
        </is>
      </c>
      <c r="F35" s="3" t="inlineStr">
        <is>
          <t>5.20</t>
        </is>
      </c>
      <c r="G35" s="6" t="inlineStr">
        <is>
          <t>C-1-294/296</t>
        </is>
      </c>
      <c r="H35" s="12" t="n">
        <v>2</v>
      </c>
      <c r="I35" s="13" t="n"/>
      <c r="J35" s="13" t="n"/>
      <c r="K35" s="14" t="n"/>
      <c r="L35" s="18" t="n">
        <v>1</v>
      </c>
      <c r="M35" s="19" t="n"/>
      <c r="N35" s="32" t="n"/>
      <c r="O35" s="20" t="n"/>
      <c r="P35" s="25" t="n"/>
      <c r="Q35" s="35" t="n"/>
      <c r="R35" s="26" t="n"/>
      <c r="S35" s="51" t="n"/>
      <c r="T35" s="168" t="n"/>
      <c r="U35" s="169" t="n"/>
      <c r="V35" s="51" t="n"/>
      <c r="W35" s="55" t="n"/>
      <c r="X35" s="1" t="n"/>
    </row>
    <row r="36" ht="24.9" customHeight="1" thickBot="1">
      <c r="B36" s="7" t="n"/>
      <c r="C36" s="3" t="inlineStr">
        <is>
          <t>24</t>
        </is>
      </c>
      <c r="D36" s="4" t="n">
        <v>46009</v>
      </c>
      <c r="E36" s="5" t="inlineStr">
        <is>
          <t>C7</t>
        </is>
      </c>
      <c r="F36" s="3" t="inlineStr">
        <is>
          <t>-4.80</t>
        </is>
      </c>
      <c r="G36" s="6" t="inlineStr">
        <is>
          <t>C-AZ-198</t>
        </is>
      </c>
      <c r="H36" s="12" t="n">
        <v>1</v>
      </c>
      <c r="I36" s="13" t="n"/>
      <c r="J36" s="13" t="n">
        <v>1</v>
      </c>
      <c r="K36" s="14" t="n"/>
      <c r="L36" s="18" t="n">
        <v>1</v>
      </c>
      <c r="M36" s="19" t="n"/>
      <c r="N36" s="32" t="n">
        <v>1</v>
      </c>
      <c r="O36" s="20" t="n"/>
      <c r="P36" s="25" t="n"/>
      <c r="Q36" s="35" t="n"/>
      <c r="R36" s="26" t="n"/>
      <c r="S36" s="51" t="n"/>
      <c r="T36" s="168" t="n"/>
      <c r="U36" s="169" t="n"/>
      <c r="V36" s="51" t="n"/>
      <c r="W36" s="55" t="n"/>
      <c r="X36" s="1" t="n"/>
    </row>
    <row r="37" ht="24.9" customHeight="1" thickBot="1">
      <c r="B37" s="7" t="n"/>
      <c r="C37" s="3" t="inlineStr">
        <is>
          <t>25</t>
        </is>
      </c>
      <c r="D37" s="4" t="n">
        <v>46010</v>
      </c>
      <c r="E37" s="5" t="inlineStr">
        <is>
          <t>C3</t>
        </is>
      </c>
      <c r="F37" s="3" t="inlineStr">
        <is>
          <t>5.20</t>
        </is>
      </c>
      <c r="G37" s="6" t="inlineStr">
        <is>
          <t>C-1-311</t>
        </is>
      </c>
      <c r="H37" s="12" t="n">
        <v>1</v>
      </c>
      <c r="I37" s="13" t="n"/>
      <c r="J37" s="13" t="n">
        <v>1</v>
      </c>
      <c r="K37" s="14" t="n"/>
      <c r="L37" s="18" t="n"/>
      <c r="M37" s="19" t="n"/>
      <c r="N37" s="32" t="n"/>
      <c r="O37" s="20" t="n"/>
      <c r="P37" s="25" t="inlineStr">
        <is>
          <t>DU100</t>
        </is>
      </c>
      <c r="Q37" s="35" t="n">
        <v>1.5</v>
      </c>
      <c r="R37" s="26" t="inlineStr">
        <is>
          <t>MT</t>
        </is>
      </c>
      <c r="S37" s="51" t="inlineStr">
        <is>
          <t>DU100</t>
        </is>
      </c>
      <c r="T37" s="168" t="n">
        <v>1.5</v>
      </c>
      <c r="U37" s="169" t="n"/>
      <c r="V37" s="58" t="inlineStr">
        <is>
          <t>MT</t>
        </is>
      </c>
      <c r="W37" s="55" t="n"/>
      <c r="X37" s="1" t="n"/>
    </row>
    <row r="38" ht="24.9" customHeight="1" thickBot="1">
      <c r="B38" s="7" t="n"/>
      <c r="C38" s="3" t="n"/>
      <c r="D38" s="4" t="n"/>
      <c r="E38" s="5" t="n"/>
      <c r="F38" s="3" t="n"/>
      <c r="G38" s="6" t="n"/>
      <c r="H38" s="12" t="n"/>
      <c r="I38" s="13" t="n"/>
      <c r="J38" s="13" t="n"/>
      <c r="K38" s="14" t="n"/>
      <c r="L38" s="18" t="n"/>
      <c r="M38" s="19" t="n"/>
      <c r="N38" s="32" t="n"/>
      <c r="O38" s="20" t="n"/>
      <c r="P38" s="25" t="inlineStr">
        <is>
          <t>DC100</t>
        </is>
      </c>
      <c r="Q38" s="35" t="n">
        <v>18.95</v>
      </c>
      <c r="R38" s="26" t="inlineStr">
        <is>
          <t>MT</t>
        </is>
      </c>
      <c r="S38" s="51" t="inlineStr">
        <is>
          <t>DC100</t>
        </is>
      </c>
      <c r="T38" s="168" t="n">
        <v>18.95</v>
      </c>
      <c r="U38" s="169" t="n"/>
      <c r="V38" s="58" t="inlineStr">
        <is>
          <t>MT</t>
        </is>
      </c>
      <c r="W38" s="55" t="n"/>
      <c r="X38" s="1" t="n"/>
    </row>
    <row r="39" ht="24.9" customHeight="1" thickBot="1">
      <c r="B39" s="7" t="n"/>
      <c r="C39" s="3" t="inlineStr">
        <is>
          <t>26</t>
        </is>
      </c>
      <c r="D39" s="4" t="n">
        <v>46010</v>
      </c>
      <c r="E39" s="5" t="inlineStr">
        <is>
          <t>C6</t>
        </is>
      </c>
      <c r="F39" s="3" t="inlineStr">
        <is>
          <t>-4.80</t>
        </is>
      </c>
      <c r="G39" s="6" t="inlineStr">
        <is>
          <t>C-AZ-389</t>
        </is>
      </c>
      <c r="H39" s="12" t="n">
        <v>1</v>
      </c>
      <c r="I39" s="13" t="n"/>
      <c r="J39" s="13" t="n"/>
      <c r="K39" s="14" t="n"/>
      <c r="L39" s="18" t="n"/>
      <c r="M39" s="19" t="n"/>
      <c r="N39" s="32" t="n"/>
      <c r="O39" s="20" t="n"/>
      <c r="P39" s="25" t="n"/>
      <c r="Q39" s="35" t="n"/>
      <c r="R39" s="26" t="n"/>
      <c r="S39" s="51" t="n"/>
      <c r="T39" s="168" t="n"/>
      <c r="U39" s="169" t="n"/>
      <c r="V39" s="51" t="n"/>
      <c r="W39" s="55" t="n"/>
      <c r="X39" s="1" t="n"/>
    </row>
    <row r="40" ht="24.9" customHeight="1" thickBot="1">
      <c r="B40" s="7" t="n"/>
      <c r="C40" s="3" t="inlineStr">
        <is>
          <t>27</t>
        </is>
      </c>
      <c r="D40" s="4" t="n">
        <v>46016</v>
      </c>
      <c r="E40" s="5" t="inlineStr">
        <is>
          <t>C3</t>
        </is>
      </c>
      <c r="F40" s="3" t="inlineStr">
        <is>
          <t>15.20</t>
        </is>
      </c>
      <c r="G40" s="6" t="n"/>
      <c r="H40" s="12" t="n">
        <v>1</v>
      </c>
      <c r="I40" s="13" t="n"/>
      <c r="J40" s="13" t="n">
        <v>1</v>
      </c>
      <c r="K40" s="14" t="n"/>
      <c r="L40" s="18" t="n"/>
      <c r="M40" s="19" t="n"/>
      <c r="N40" s="32" t="n"/>
      <c r="O40" s="20" t="n"/>
      <c r="P40" s="25" t="n"/>
      <c r="Q40" s="35" t="n"/>
      <c r="R40" s="26" t="n"/>
      <c r="S40" s="51" t="n"/>
      <c r="T40" s="168" t="n"/>
      <c r="U40" s="169" t="n"/>
      <c r="V40" s="51" t="n"/>
      <c r="W40" s="55" t="n">
        <v>1126.44</v>
      </c>
      <c r="X40" s="1" t="n"/>
    </row>
    <row r="41" ht="24.9" customHeight="1" thickBot="1">
      <c r="B41" s="7" t="n"/>
      <c r="C41" s="3" t="inlineStr">
        <is>
          <t>28</t>
        </is>
      </c>
      <c r="D41" s="4" t="n">
        <v>46016</v>
      </c>
      <c r="E41" s="5" t="inlineStr">
        <is>
          <t>C7</t>
        </is>
      </c>
      <c r="F41" s="3" t="inlineStr">
        <is>
          <t>-4.80</t>
        </is>
      </c>
      <c r="G41" s="6" t="inlineStr">
        <is>
          <t>C-AZ-205</t>
        </is>
      </c>
      <c r="H41" s="12" t="n">
        <v>2</v>
      </c>
      <c r="I41" s="13" t="n"/>
      <c r="J41" s="13" t="n">
        <v>1</v>
      </c>
      <c r="K41" s="14" t="n"/>
      <c r="L41" s="18" t="n">
        <v>1</v>
      </c>
      <c r="M41" s="19" t="n"/>
      <c r="N41" s="32" t="n"/>
      <c r="O41" s="20" t="n"/>
      <c r="P41" s="25" t="inlineStr">
        <is>
          <t>15LİK GAZBETON</t>
        </is>
      </c>
      <c r="Q41" s="35" t="n">
        <v>2</v>
      </c>
      <c r="R41" s="26" t="inlineStr">
        <is>
          <t>M2</t>
        </is>
      </c>
      <c r="S41" s="51" t="inlineStr">
        <is>
          <t>15LİK GAZBETON</t>
        </is>
      </c>
      <c r="T41" s="168" t="n">
        <v>2</v>
      </c>
      <c r="U41" s="169" t="n"/>
      <c r="V41" s="51" t="inlineStr">
        <is>
          <t>M2</t>
        </is>
      </c>
      <c r="W41" s="55" t="n"/>
      <c r="X41" s="1" t="n"/>
    </row>
    <row r="42" ht="24.9" customHeight="1" thickBot="1">
      <c r="B42" s="7" t="n"/>
      <c r="C42" s="3" t="n"/>
      <c r="D42" s="4" t="n"/>
      <c r="E42" s="5" t="n"/>
      <c r="F42" s="3" t="n"/>
      <c r="G42" s="6" t="n"/>
      <c r="H42" s="12" t="n"/>
      <c r="I42" s="13" t="n"/>
      <c r="J42" s="13" t="n"/>
      <c r="K42" s="14" t="n"/>
      <c r="L42" s="18" t="n"/>
      <c r="M42" s="19" t="n"/>
      <c r="N42" s="32" t="n"/>
      <c r="O42" s="20" t="n"/>
      <c r="P42" s="25" t="inlineStr">
        <is>
          <t>FX ULTRA</t>
        </is>
      </c>
      <c r="Q42" s="35" t="n">
        <v>14.5</v>
      </c>
      <c r="R42" s="26" t="inlineStr">
        <is>
          <t>M2</t>
        </is>
      </c>
      <c r="S42" s="51" t="inlineStr">
        <is>
          <t>FX ULTRA</t>
        </is>
      </c>
      <c r="T42" s="168" t="n">
        <v>14.5</v>
      </c>
      <c r="U42" s="169" t="n"/>
      <c r="V42" s="51" t="inlineStr">
        <is>
          <t>M2</t>
        </is>
      </c>
      <c r="W42" s="55" t="n"/>
      <c r="X42" s="1" t="n"/>
    </row>
    <row r="43" ht="24.9" customHeight="1" thickBot="1">
      <c r="B43" s="7" t="n"/>
      <c r="C43" s="3" t="inlineStr">
        <is>
          <t>29</t>
        </is>
      </c>
      <c r="D43" s="4" t="n">
        <v>46016</v>
      </c>
      <c r="E43" s="5" t="inlineStr">
        <is>
          <t>C7</t>
        </is>
      </c>
      <c r="F43" s="3" t="inlineStr">
        <is>
          <t>-10.60</t>
        </is>
      </c>
      <c r="G43" s="6" t="n"/>
      <c r="H43" s="12" t="n"/>
      <c r="I43" s="13" t="n"/>
      <c r="J43" s="13" t="n"/>
      <c r="K43" s="14" t="n"/>
      <c r="L43" s="18" t="n"/>
      <c r="M43" s="19" t="n"/>
      <c r="N43" s="32" t="n"/>
      <c r="O43" s="20" t="n"/>
      <c r="P43" s="25" t="inlineStr">
        <is>
          <t>DU50</t>
        </is>
      </c>
      <c r="Q43" s="35" t="n">
        <v>60</v>
      </c>
      <c r="R43" s="26" t="n"/>
      <c r="S43" s="51" t="n"/>
      <c r="T43" s="168" t="n"/>
      <c r="U43" s="169" t="n"/>
      <c r="V43" s="51" t="n"/>
      <c r="W43" s="55" t="n"/>
      <c r="X43" s="1" t="n"/>
    </row>
    <row r="44" ht="24.9" customHeight="1" thickBot="1">
      <c r="B44" s="7" t="n"/>
      <c r="C44" s="3" t="n"/>
      <c r="D44" s="4" t="n"/>
      <c r="E44" s="5" t="n"/>
      <c r="F44" s="3" t="n"/>
      <c r="G44" s="6" t="n"/>
      <c r="H44" s="12" t="n"/>
      <c r="I44" s="13" t="n"/>
      <c r="J44" s="13" t="n"/>
      <c r="K44" s="14" t="n"/>
      <c r="L44" s="18" t="n"/>
      <c r="M44" s="19" t="n"/>
      <c r="N44" s="32" t="n"/>
      <c r="O44" s="20" t="n"/>
      <c r="P44" s="25" t="inlineStr">
        <is>
          <t>DC50</t>
        </is>
      </c>
      <c r="Q44" s="35" t="n">
        <v>30</v>
      </c>
      <c r="R44" s="26" t="n"/>
      <c r="S44" s="51" t="n"/>
      <c r="T44" s="168" t="n"/>
      <c r="U44" s="169" t="n"/>
      <c r="V44" s="51" t="n"/>
      <c r="W44" s="55" t="n"/>
      <c r="X44" s="1" t="n"/>
    </row>
    <row r="45" ht="24.9" customHeight="1" thickBot="1">
      <c r="B45" s="7" t="n"/>
      <c r="C45" s="3" t="inlineStr">
        <is>
          <t>30</t>
        </is>
      </c>
      <c r="D45" s="4" t="n">
        <v>46017</v>
      </c>
      <c r="E45" s="5" t="inlineStr">
        <is>
          <t>C6</t>
        </is>
      </c>
      <c r="F45" s="3" t="inlineStr">
        <is>
          <t>-4.80</t>
        </is>
      </c>
      <c r="G45" s="6" t="inlineStr">
        <is>
          <t>C-AZ-404</t>
        </is>
      </c>
      <c r="H45" s="12" t="n">
        <v>1</v>
      </c>
      <c r="I45" s="13" t="n"/>
      <c r="J45" s="13" t="n">
        <v>1</v>
      </c>
      <c r="K45" s="14" t="n"/>
      <c r="L45" s="18" t="n">
        <v>1</v>
      </c>
      <c r="M45" s="19" t="n"/>
      <c r="N45" s="32" t="n"/>
      <c r="O45" s="20" t="n"/>
      <c r="P45" s="25" t="inlineStr">
        <is>
          <t>40*40*2</t>
        </is>
      </c>
      <c r="Q45" s="35" t="n">
        <v>8</v>
      </c>
      <c r="R45" s="26" t="inlineStr">
        <is>
          <t>MT</t>
        </is>
      </c>
      <c r="S45" s="51" t="inlineStr">
        <is>
          <t>40*40*2</t>
        </is>
      </c>
      <c r="T45" s="168" t="n">
        <v>8</v>
      </c>
      <c r="U45" s="169" t="n"/>
      <c r="V45" s="51" t="inlineStr">
        <is>
          <t>MT</t>
        </is>
      </c>
      <c r="W45" s="55" t="n"/>
      <c r="X45" s="1" t="n"/>
    </row>
    <row r="46" ht="24.9" customHeight="1" thickBot="1">
      <c r="B46" s="7" t="n"/>
      <c r="C46" s="3" t="inlineStr">
        <is>
          <t>31</t>
        </is>
      </c>
      <c r="D46" s="4" t="n">
        <v>46017</v>
      </c>
      <c r="E46" s="5" t="inlineStr">
        <is>
          <t>C7</t>
        </is>
      </c>
      <c r="F46" s="3" t="inlineStr">
        <is>
          <t>-4.80</t>
        </is>
      </c>
      <c r="G46" s="6" t="inlineStr">
        <is>
          <t>C-AZ-445/446/447</t>
        </is>
      </c>
      <c r="H46" s="12" t="n">
        <v>2</v>
      </c>
      <c r="I46" s="13" t="n"/>
      <c r="J46" s="13" t="n">
        <v>2</v>
      </c>
      <c r="K46" s="14" t="n"/>
      <c r="L46" s="18" t="n">
        <v>1</v>
      </c>
      <c r="M46" s="19" t="n"/>
      <c r="N46" s="32" t="n"/>
      <c r="O46" s="20" t="n"/>
      <c r="P46" s="46" t="inlineStr">
        <is>
          <t>40*40*2</t>
        </is>
      </c>
      <c r="Q46" s="47" t="n">
        <v>19.3</v>
      </c>
      <c r="R46" s="26" t="n"/>
      <c r="S46" s="51" t="inlineStr">
        <is>
          <t>40*4**2</t>
        </is>
      </c>
      <c r="T46" s="168" t="n">
        <v>6</v>
      </c>
      <c r="U46" s="169" t="n"/>
      <c r="V46" s="51" t="inlineStr">
        <is>
          <t>MT</t>
        </is>
      </c>
      <c r="W46" s="55" t="n"/>
      <c r="X46" s="1" t="n"/>
    </row>
    <row r="47" ht="24.9" customHeight="1" thickBot="1">
      <c r="B47" s="7" t="n"/>
      <c r="C47" s="3" t="n"/>
      <c r="D47" s="4" t="n"/>
      <c r="E47" s="5" t="n"/>
      <c r="F47" s="3" t="n"/>
      <c r="G47" s="6" t="n"/>
      <c r="H47" s="12" t="n"/>
      <c r="I47" s="13" t="n"/>
      <c r="J47" s="13" t="n"/>
      <c r="K47" s="14" t="n"/>
      <c r="L47" s="18" t="n"/>
      <c r="M47" s="19" t="n"/>
      <c r="N47" s="32" t="n"/>
      <c r="O47" s="20" t="n"/>
      <c r="P47" s="46" t="inlineStr">
        <is>
          <t>20*40*2</t>
        </is>
      </c>
      <c r="Q47" s="47" t="n">
        <v>5.2</v>
      </c>
      <c r="R47" s="26" t="n"/>
      <c r="S47" s="51" t="inlineStr">
        <is>
          <t>20*40*2</t>
        </is>
      </c>
      <c r="T47" s="168" t="n">
        <v>3</v>
      </c>
      <c r="U47" s="169" t="n"/>
      <c r="V47" s="51" t="inlineStr">
        <is>
          <t>MT</t>
        </is>
      </c>
      <c r="W47" s="55" t="n"/>
      <c r="X47" s="1" t="n"/>
    </row>
    <row r="48" ht="24.9" customHeight="1" thickBot="1">
      <c r="B48" s="7" t="n"/>
      <c r="C48" s="3" t="n"/>
      <c r="D48" s="4" t="n"/>
      <c r="E48" s="5" t="n"/>
      <c r="F48" s="3" t="n"/>
      <c r="G48" s="6" t="n"/>
      <c r="H48" s="12" t="n"/>
      <c r="I48" s="13" t="n"/>
      <c r="J48" s="13" t="n"/>
      <c r="K48" s="14" t="n"/>
      <c r="L48" s="18" t="n"/>
      <c r="M48" s="19" t="n"/>
      <c r="N48" s="32" t="n"/>
      <c r="O48" s="20" t="n"/>
      <c r="P48" s="46" t="inlineStr">
        <is>
          <t>60*40*2</t>
        </is>
      </c>
      <c r="Q48" s="47" t="n">
        <v>9.800000000000001</v>
      </c>
      <c r="R48" s="26" t="n"/>
      <c r="S48" s="51" t="inlineStr">
        <is>
          <t>60*40*2</t>
        </is>
      </c>
      <c r="T48" s="168" t="n">
        <v>9</v>
      </c>
      <c r="U48" s="169" t="n"/>
      <c r="V48" s="51" t="inlineStr">
        <is>
          <t>MT</t>
        </is>
      </c>
      <c r="W48" s="55" t="n"/>
      <c r="X48" s="1" t="n"/>
    </row>
    <row r="49" ht="24.9" customHeight="1" thickBot="1">
      <c r="B49" s="7" t="n"/>
      <c r="C49" s="3" t="inlineStr">
        <is>
          <t>32</t>
        </is>
      </c>
      <c r="D49" s="4" t="n">
        <v>46017</v>
      </c>
      <c r="E49" s="5" t="inlineStr">
        <is>
          <t>C3</t>
        </is>
      </c>
      <c r="F49" s="3" t="inlineStr">
        <is>
          <t>5.20</t>
        </is>
      </c>
      <c r="G49" s="6" t="inlineStr">
        <is>
          <t>C-1-91/92</t>
        </is>
      </c>
      <c r="H49" s="12" t="n">
        <v>8</v>
      </c>
      <c r="I49" s="13" t="n"/>
      <c r="J49" s="13" t="n"/>
      <c r="K49" s="14" t="n"/>
      <c r="L49" s="18" t="n">
        <v>2</v>
      </c>
      <c r="M49" s="19" t="n"/>
      <c r="N49" s="32" t="n"/>
      <c r="O49" s="20" t="n"/>
      <c r="P49" s="25" t="inlineStr">
        <is>
          <t>20LİK GAZBETON</t>
        </is>
      </c>
      <c r="Q49" s="35" t="n">
        <v>8</v>
      </c>
      <c r="R49" s="26" t="n"/>
      <c r="S49" s="51" t="inlineStr">
        <is>
          <t>20LİK GAZBETON</t>
        </is>
      </c>
      <c r="T49" s="168" t="n">
        <v>5</v>
      </c>
      <c r="U49" s="169" t="n"/>
      <c r="V49" s="51" t="n"/>
      <c r="W49" s="55" t="n"/>
      <c r="X49" s="1" t="n"/>
    </row>
    <row r="50" ht="24.9" customHeight="1" thickBot="1">
      <c r="B50" s="7" t="n"/>
      <c r="C50" s="3" t="n"/>
      <c r="D50" s="4" t="n"/>
      <c r="E50" s="5" t="n"/>
      <c r="F50" s="3" t="n"/>
      <c r="G50" s="6" t="n"/>
      <c r="H50" s="12" t="n"/>
      <c r="I50" s="13" t="n"/>
      <c r="J50" s="13" t="n"/>
      <c r="K50" s="14" t="n"/>
      <c r="L50" s="18" t="n"/>
      <c r="M50" s="19" t="n"/>
      <c r="N50" s="32" t="n"/>
      <c r="O50" s="20" t="n"/>
      <c r="P50" s="25" t="inlineStr">
        <is>
          <t>BETON</t>
        </is>
      </c>
      <c r="Q50" s="35" t="n">
        <v>0.4</v>
      </c>
      <c r="R50" s="26" t="n"/>
      <c r="S50" s="51" t="inlineStr">
        <is>
          <t>BETON</t>
        </is>
      </c>
      <c r="T50" s="168" t="n">
        <v>0.2</v>
      </c>
      <c r="U50" s="169" t="n"/>
      <c r="V50" s="51" t="n"/>
      <c r="W50" s="55" t="n"/>
      <c r="X50" s="1" t="n"/>
    </row>
    <row r="51" ht="24.9" customHeight="1" thickBot="1">
      <c r="B51" s="7" t="n"/>
      <c r="C51" s="3" t="inlineStr">
        <is>
          <t>33</t>
        </is>
      </c>
      <c r="D51" s="4" t="n">
        <v>46018</v>
      </c>
      <c r="E51" s="5" t="inlineStr">
        <is>
          <t>C7</t>
        </is>
      </c>
      <c r="F51" s="3" t="inlineStr">
        <is>
          <t>-4.80</t>
        </is>
      </c>
      <c r="G51" s="6" t="inlineStr">
        <is>
          <t>C-AZ-213/215/218</t>
        </is>
      </c>
      <c r="H51" s="12" t="n">
        <v>3</v>
      </c>
      <c r="I51" s="13" t="n"/>
      <c r="J51" s="13" t="n"/>
      <c r="K51" s="14" t="n"/>
      <c r="L51" s="18" t="n"/>
      <c r="M51" s="19" t="n"/>
      <c r="N51" s="32" t="n"/>
      <c r="O51" s="20" t="n"/>
      <c r="P51" s="25" t="inlineStr">
        <is>
          <t>40*40*2</t>
        </is>
      </c>
      <c r="Q51" s="35" t="n">
        <v>13</v>
      </c>
      <c r="R51" s="26" t="n"/>
      <c r="S51" s="51" t="n"/>
      <c r="T51" s="168" t="n"/>
      <c r="U51" s="169" t="n"/>
      <c r="V51" s="51" t="n"/>
      <c r="W51" s="55" t="n"/>
      <c r="X51" s="1" t="n"/>
    </row>
    <row r="52" ht="24.9" customHeight="1" thickBot="1">
      <c r="B52" s="7" t="n"/>
      <c r="C52" s="3" t="inlineStr">
        <is>
          <t>34</t>
        </is>
      </c>
      <c r="D52" s="4" t="n">
        <v>46018</v>
      </c>
      <c r="E52" s="5" t="inlineStr">
        <is>
          <t>C7</t>
        </is>
      </c>
      <c r="F52" s="3" t="inlineStr">
        <is>
          <t>-4.80</t>
        </is>
      </c>
      <c r="G52" s="6" t="inlineStr">
        <is>
          <t>C-AZ-205</t>
        </is>
      </c>
      <c r="H52" s="12" t="n">
        <v>3</v>
      </c>
      <c r="I52" s="13" t="n"/>
      <c r="J52" s="13" t="n">
        <v>2</v>
      </c>
      <c r="K52" s="14" t="n"/>
      <c r="L52" s="18" t="n"/>
      <c r="M52" s="19" t="n"/>
      <c r="N52" s="32" t="n"/>
      <c r="O52" s="20" t="n"/>
      <c r="P52" s="25" t="inlineStr">
        <is>
          <t>FX ULTRA</t>
        </is>
      </c>
      <c r="Q52" s="35" t="n">
        <v>35</v>
      </c>
      <c r="R52" s="26" t="n"/>
      <c r="S52" s="51" t="n"/>
      <c r="T52" s="168" t="n"/>
      <c r="U52" s="169" t="n"/>
      <c r="V52" s="51" t="n"/>
      <c r="W52" s="55" t="n"/>
      <c r="X52" s="1" t="n"/>
    </row>
    <row r="53" ht="24.9" customHeight="1" thickBot="1">
      <c r="B53" s="7" t="n"/>
      <c r="C53" s="3" t="inlineStr">
        <is>
          <t>35</t>
        </is>
      </c>
      <c r="D53" s="4" t="n">
        <v>46019</v>
      </c>
      <c r="E53" s="5" t="inlineStr">
        <is>
          <t>C6</t>
        </is>
      </c>
      <c r="F53" s="3" t="inlineStr">
        <is>
          <t>-4.80</t>
        </is>
      </c>
      <c r="G53" s="6" t="inlineStr">
        <is>
          <t>C-AZ-423</t>
        </is>
      </c>
      <c r="H53" s="12" t="n">
        <v>2</v>
      </c>
      <c r="I53" s="13" t="n"/>
      <c r="J53" s="13" t="n">
        <v>2</v>
      </c>
      <c r="K53" s="14" t="n"/>
      <c r="L53" s="18" t="n"/>
      <c r="M53" s="19" t="n"/>
      <c r="N53" s="32" t="n"/>
      <c r="O53" s="20" t="n"/>
      <c r="P53" s="25" t="inlineStr">
        <is>
          <t>FX ULTRA</t>
        </is>
      </c>
      <c r="Q53" s="35" t="n">
        <v>18</v>
      </c>
      <c r="R53" s="26" t="n"/>
      <c r="S53" s="51" t="n"/>
      <c r="T53" s="168" t="n"/>
      <c r="U53" s="169" t="n"/>
      <c r="V53" s="51" t="n"/>
      <c r="W53" s="55" t="n"/>
      <c r="X53" s="1" t="n"/>
    </row>
    <row r="54" ht="24.9" customHeight="1" thickBot="1">
      <c r="B54" s="7" t="n"/>
      <c r="C54" s="3" t="inlineStr">
        <is>
          <t>36</t>
        </is>
      </c>
      <c r="D54" s="4" t="n">
        <v>46019</v>
      </c>
      <c r="E54" s="5" t="inlineStr">
        <is>
          <t>C3</t>
        </is>
      </c>
      <c r="F54" s="3" t="inlineStr">
        <is>
          <t>0.20</t>
        </is>
      </c>
      <c r="G54" s="6" t="n"/>
      <c r="H54" s="12" t="n">
        <v>3</v>
      </c>
      <c r="I54" s="13" t="n"/>
      <c r="J54" s="13" t="n">
        <v>2</v>
      </c>
      <c r="K54" s="14" t="n"/>
      <c r="L54" s="18" t="n"/>
      <c r="M54" s="19" t="n"/>
      <c r="N54" s="32" t="n"/>
      <c r="O54" s="20" t="n"/>
      <c r="P54" s="25" t="inlineStr">
        <is>
          <t>FX ULTRA</t>
        </is>
      </c>
      <c r="Q54" s="35" t="n">
        <v>26</v>
      </c>
      <c r="R54" s="26" t="n"/>
      <c r="S54" s="51" t="n"/>
      <c r="T54" s="168" t="n"/>
      <c r="U54" s="169" t="n"/>
      <c r="V54" s="51" t="n"/>
      <c r="W54" s="55" t="n"/>
      <c r="X54" s="1" t="n"/>
    </row>
    <row r="55" ht="24.9" customHeight="1" thickBot="1">
      <c r="B55" s="7" t="n"/>
      <c r="C55" s="3" t="inlineStr">
        <is>
          <t>37</t>
        </is>
      </c>
      <c r="D55" s="4" t="n">
        <v>46094</v>
      </c>
      <c r="E55" s="5" t="inlineStr">
        <is>
          <t>C</t>
        </is>
      </c>
      <c r="F55" s="3" t="n"/>
      <c r="G55" s="6" t="n"/>
      <c r="H55" s="12" t="n"/>
      <c r="I55" s="13" t="n"/>
      <c r="J55" s="13" t="n">
        <v>7</v>
      </c>
      <c r="K55" s="14" t="n"/>
      <c r="L55" s="18" t="n"/>
      <c r="M55" s="19" t="n"/>
      <c r="N55" s="32" t="n"/>
      <c r="O55" s="20" t="n"/>
      <c r="P55" s="46" t="n"/>
      <c r="Q55" s="47" t="n"/>
      <c r="R55" s="26" t="n"/>
      <c r="S55" s="51" t="n"/>
      <c r="T55" s="168" t="n"/>
      <c r="U55" s="169" t="n"/>
      <c r="V55" s="51" t="n"/>
      <c r="W55" s="55" t="n"/>
      <c r="X55" s="1" t="n"/>
    </row>
    <row r="56" ht="24.9" customHeight="1" thickBot="1">
      <c r="B56" s="7" t="n"/>
      <c r="C56" s="3" t="n">
        <v>38</v>
      </c>
      <c r="D56" s="4" t="n">
        <v>46094</v>
      </c>
      <c r="E56" s="5" t="inlineStr">
        <is>
          <t>C</t>
        </is>
      </c>
      <c r="F56" s="3" t="n"/>
      <c r="G56" s="6" t="n"/>
      <c r="H56" s="12" t="n"/>
      <c r="I56" s="13" t="n"/>
      <c r="J56" s="13" t="n">
        <v>26</v>
      </c>
      <c r="K56" s="14" t="n"/>
      <c r="L56" s="18" t="n"/>
      <c r="M56" s="19" t="n"/>
      <c r="N56" s="32" t="n"/>
      <c r="O56" s="20" t="n"/>
      <c r="P56" s="46" t="n"/>
      <c r="Q56" s="47" t="n"/>
      <c r="R56" s="26" t="n"/>
      <c r="S56" s="51" t="n"/>
      <c r="T56" s="168" t="n"/>
      <c r="U56" s="169" t="n"/>
      <c r="V56" s="51" t="n"/>
      <c r="W56" s="55" t="n"/>
      <c r="X56" s="1" t="n"/>
    </row>
    <row r="57" ht="24.9" customHeight="1" thickBot="1">
      <c r="B57" s="7" t="n"/>
      <c r="C57" s="3" t="inlineStr">
        <is>
          <t>39</t>
        </is>
      </c>
      <c r="D57" s="4" t="n">
        <v>46094</v>
      </c>
      <c r="E57" s="5" t="inlineStr">
        <is>
          <t>C</t>
        </is>
      </c>
      <c r="F57" s="3" t="n"/>
      <c r="G57" s="6" t="n"/>
      <c r="H57" s="12" t="n"/>
      <c r="I57" s="13" t="n"/>
      <c r="J57" s="13" t="n">
        <v>56</v>
      </c>
      <c r="K57" s="14" t="n"/>
      <c r="L57" s="18" t="n"/>
      <c r="M57" s="19" t="n"/>
      <c r="N57" s="32" t="n"/>
      <c r="O57" s="20" t="n"/>
      <c r="P57" s="46" t="n"/>
      <c r="Q57" s="47" t="n"/>
      <c r="R57" s="26" t="n"/>
      <c r="S57" s="51" t="n"/>
      <c r="T57" s="168" t="n"/>
      <c r="U57" s="169" t="n"/>
      <c r="V57" s="51" t="n"/>
      <c r="W57" s="55" t="n"/>
      <c r="X57" s="1" t="n"/>
    </row>
    <row r="58" ht="24.9" customHeight="1" thickBot="1">
      <c r="B58" s="7" t="n"/>
      <c r="C58" s="3" t="inlineStr">
        <is>
          <t>40</t>
        </is>
      </c>
      <c r="D58" s="4" t="n">
        <v>46094</v>
      </c>
      <c r="E58" s="5" t="inlineStr">
        <is>
          <t>C</t>
        </is>
      </c>
      <c r="F58" s="3" t="n"/>
      <c r="G58" s="6" t="n"/>
      <c r="H58" s="12" t="n"/>
      <c r="I58" s="13" t="n"/>
      <c r="J58" s="13" t="n">
        <v>56</v>
      </c>
      <c r="K58" s="14" t="n"/>
      <c r="L58" s="18" t="n"/>
      <c r="M58" s="19" t="n"/>
      <c r="N58" s="32" t="n"/>
      <c r="O58" s="20" t="n"/>
      <c r="P58" s="25" t="n"/>
      <c r="Q58" s="35" t="n"/>
      <c r="R58" s="26" t="n"/>
      <c r="S58" s="51" t="n"/>
      <c r="T58" s="168" t="n"/>
      <c r="U58" s="169" t="n"/>
      <c r="V58" s="51" t="n"/>
      <c r="W58" s="55" t="n"/>
      <c r="X58" s="1" t="n"/>
    </row>
    <row r="59" ht="24.9" customHeight="1" thickBot="1">
      <c r="B59" s="7" t="n"/>
      <c r="C59" s="3" t="inlineStr">
        <is>
          <t>41</t>
        </is>
      </c>
      <c r="D59" s="4" t="n">
        <v>46094</v>
      </c>
      <c r="E59" s="5" t="inlineStr">
        <is>
          <t>C</t>
        </is>
      </c>
      <c r="F59" s="3" t="n"/>
      <c r="G59" s="6" t="n"/>
      <c r="H59" s="12" t="n"/>
      <c r="I59" s="13" t="n"/>
      <c r="J59" s="13" t="n">
        <v>57</v>
      </c>
      <c r="K59" s="14" t="n"/>
      <c r="L59" s="18" t="n"/>
      <c r="M59" s="19" t="n"/>
      <c r="N59" s="32" t="n"/>
      <c r="O59" s="20" t="n"/>
      <c r="P59" s="25" t="n"/>
      <c r="Q59" s="35" t="n"/>
      <c r="R59" s="26" t="n"/>
      <c r="S59" s="51" t="n"/>
      <c r="T59" s="168" t="n"/>
      <c r="U59" s="169" t="n"/>
      <c r="V59" s="51" t="n"/>
      <c r="W59" s="55" t="n"/>
      <c r="X59" s="1" t="n"/>
    </row>
    <row r="60" ht="24.9" customHeight="1" thickBot="1">
      <c r="B60" s="7" t="n"/>
      <c r="C60" s="3" t="inlineStr">
        <is>
          <t>42</t>
        </is>
      </c>
      <c r="D60" s="4" t="n">
        <v>46094</v>
      </c>
      <c r="E60" s="5" t="inlineStr">
        <is>
          <t>C</t>
        </is>
      </c>
      <c r="F60" s="3" t="n"/>
      <c r="G60" s="6" t="n"/>
      <c r="H60" s="12" t="n"/>
      <c r="I60" s="13" t="n"/>
      <c r="J60" s="13" t="n">
        <v>35</v>
      </c>
      <c r="K60" s="14" t="n"/>
      <c r="L60" s="18" t="n"/>
      <c r="M60" s="19" t="n"/>
      <c r="N60" s="32" t="n"/>
      <c r="O60" s="20" t="n"/>
      <c r="P60" s="25" t="n"/>
      <c r="Q60" s="35" t="n"/>
      <c r="R60" s="26" t="n"/>
      <c r="S60" s="51" t="n"/>
      <c r="T60" s="168" t="n"/>
      <c r="U60" s="169" t="n"/>
      <c r="V60" s="51" t="n"/>
      <c r="W60" s="55" t="n"/>
      <c r="X60" s="1" t="n"/>
    </row>
    <row r="61" ht="24.9" customHeight="1" thickBot="1">
      <c r="B61" s="7" t="n"/>
      <c r="C61" s="3" t="inlineStr">
        <is>
          <t>43</t>
        </is>
      </c>
      <c r="D61" s="4" t="n">
        <v>46094</v>
      </c>
      <c r="E61" s="5" t="inlineStr">
        <is>
          <t>C</t>
        </is>
      </c>
      <c r="F61" s="3" t="n"/>
      <c r="G61" s="6" t="n"/>
      <c r="H61" s="12" t="n"/>
      <c r="I61" s="13" t="n"/>
      <c r="J61" s="13" t="n">
        <v>52</v>
      </c>
      <c r="K61" s="14" t="n"/>
      <c r="L61" s="18" t="n"/>
      <c r="M61" s="19" t="n"/>
      <c r="N61" s="32" t="n"/>
      <c r="O61" s="20" t="n"/>
      <c r="P61" s="25" t="n"/>
      <c r="Q61" s="35" t="n"/>
      <c r="R61" s="26" t="n"/>
      <c r="S61" s="51" t="n"/>
      <c r="T61" s="168" t="n"/>
      <c r="U61" s="169" t="n"/>
      <c r="V61" s="51" t="n"/>
      <c r="W61" s="55" t="n"/>
      <c r="X61" s="1" t="n"/>
    </row>
    <row r="62" ht="24.9" customHeight="1" thickBot="1">
      <c r="B62" s="7" t="n"/>
      <c r="C62" s="3" t="inlineStr">
        <is>
          <t>47</t>
        </is>
      </c>
      <c r="D62" s="4" t="n">
        <v>46027</v>
      </c>
      <c r="E62" s="5" t="inlineStr">
        <is>
          <t>C7</t>
        </is>
      </c>
      <c r="F62" s="3" t="inlineStr">
        <is>
          <t>-10.60</t>
        </is>
      </c>
      <c r="G62" s="6" t="inlineStr">
        <is>
          <t>C-B1-306</t>
        </is>
      </c>
      <c r="H62" s="12" t="n">
        <v>3</v>
      </c>
      <c r="I62" s="13" t="n"/>
      <c r="J62" s="13" t="n"/>
      <c r="K62" s="14" t="n"/>
      <c r="L62" s="18" t="n"/>
      <c r="M62" s="19" t="n"/>
      <c r="N62" s="32" t="n"/>
      <c r="O62" s="20" t="n"/>
      <c r="P62" s="25" t="n"/>
      <c r="Q62" s="35" t="n"/>
      <c r="R62" s="26" t="n"/>
      <c r="S62" s="51" t="n"/>
      <c r="T62" s="168" t="n"/>
      <c r="U62" s="169" t="n"/>
      <c r="V62" s="51" t="n"/>
      <c r="W62" s="55" t="n"/>
      <c r="X62" s="1" t="n"/>
    </row>
    <row r="63" ht="24.9" customHeight="1" thickBot="1">
      <c r="B63" s="7" t="n"/>
      <c r="C63" s="3" t="inlineStr">
        <is>
          <t>48</t>
        </is>
      </c>
      <c r="D63" s="4" t="n">
        <v>46027</v>
      </c>
      <c r="E63" s="5" t="n"/>
      <c r="F63" s="3" t="n"/>
      <c r="G63" s="6" t="n"/>
      <c r="H63" s="12" t="n">
        <v>4</v>
      </c>
      <c r="I63" s="13" t="n"/>
      <c r="J63" s="13" t="n"/>
      <c r="K63" s="14" t="n"/>
      <c r="L63" s="18" t="n"/>
      <c r="M63" s="19" t="n"/>
      <c r="N63" s="32" t="n"/>
      <c r="O63" s="20" t="n"/>
      <c r="P63" s="25" t="inlineStr">
        <is>
          <t>15LİK GAZBETON</t>
        </is>
      </c>
      <c r="Q63" s="35" t="n">
        <v>143</v>
      </c>
      <c r="R63" s="26" t="n"/>
      <c r="S63" s="51" t="n"/>
      <c r="T63" s="168" t="n"/>
      <c r="U63" s="169" t="n"/>
      <c r="V63" s="51" t="n"/>
      <c r="W63" s="55" t="n"/>
      <c r="X63" s="1" t="n"/>
    </row>
    <row r="64" ht="24.9" customHeight="1" thickBot="1">
      <c r="B64" s="7" t="n"/>
      <c r="C64" s="3" t="n"/>
      <c r="D64" s="4" t="n"/>
      <c r="E64" s="5" t="n"/>
      <c r="F64" s="3" t="n"/>
      <c r="G64" s="6" t="n"/>
      <c r="H64" s="12" t="inlineStr">
        <is>
          <t>143 M2 GAZBETON 15LİK</t>
        </is>
      </c>
      <c r="I64" s="13" t="n"/>
      <c r="J64" s="13" t="n"/>
      <c r="K64" s="14" t="n"/>
      <c r="L64" s="18" t="n"/>
      <c r="M64" s="19" t="n"/>
      <c r="N64" s="32" t="n"/>
      <c r="O64" s="20" t="n"/>
      <c r="P64" s="46" t="n"/>
      <c r="Q64" s="47" t="n"/>
      <c r="R64" s="26" t="n"/>
      <c r="S64" s="51" t="n"/>
      <c r="T64" s="168" t="n"/>
      <c r="U64" s="169" t="n"/>
      <c r="V64" s="51" t="n"/>
      <c r="W64" s="55" t="n"/>
      <c r="X64" s="1" t="n"/>
    </row>
    <row r="65" ht="24.9" customHeight="1" thickBot="1">
      <c r="B65" s="7" t="n"/>
      <c r="C65" s="3" t="inlineStr">
        <is>
          <t>49</t>
        </is>
      </c>
      <c r="D65" s="4" t="n">
        <v>46039</v>
      </c>
      <c r="E65" s="5" t="inlineStr">
        <is>
          <t>C3</t>
        </is>
      </c>
      <c r="F65" s="3" t="inlineStr">
        <is>
          <t>5.20</t>
        </is>
      </c>
      <c r="G65" s="6" t="n"/>
      <c r="H65" s="12" t="n">
        <v>3</v>
      </c>
      <c r="I65" s="13" t="n"/>
      <c r="J65" s="13" t="n"/>
      <c r="K65" s="14" t="n"/>
      <c r="L65" s="18" t="n"/>
      <c r="M65" s="19" t="n"/>
      <c r="N65" s="32" t="n"/>
      <c r="O65" s="20" t="n"/>
      <c r="P65" s="46" t="inlineStr">
        <is>
          <t>FX ULTRA</t>
        </is>
      </c>
      <c r="Q65" s="47" t="n">
        <v>10</v>
      </c>
      <c r="R65" s="26" t="n"/>
      <c r="S65" s="51" t="n"/>
      <c r="T65" s="168" t="n"/>
      <c r="U65" s="169" t="n"/>
      <c r="V65" s="51" t="n"/>
      <c r="W65" s="55" t="n"/>
      <c r="X65" s="1" t="n"/>
    </row>
    <row r="66" ht="24.9" customHeight="1" thickBot="1">
      <c r="B66" s="7" t="n"/>
      <c r="C66" s="3" t="inlineStr">
        <is>
          <t>50</t>
        </is>
      </c>
      <c r="D66" s="4" t="n">
        <v>46047</v>
      </c>
      <c r="E66" s="5" t="inlineStr">
        <is>
          <t>C3</t>
        </is>
      </c>
      <c r="F66" s="3" t="inlineStr">
        <is>
          <t>10.20</t>
        </is>
      </c>
      <c r="G66" s="6" t="n"/>
      <c r="H66" s="12" t="n"/>
      <c r="I66" s="13" t="n"/>
      <c r="J66" s="13" t="n">
        <v>2</v>
      </c>
      <c r="K66" s="14" t="n"/>
      <c r="L66" s="18" t="n"/>
      <c r="M66" s="19" t="n"/>
      <c r="N66" s="32" t="n"/>
      <c r="O66" s="20" t="n"/>
      <c r="P66" s="46" t="n"/>
      <c r="Q66" s="47" t="n"/>
      <c r="R66" s="26" t="n"/>
      <c r="S66" s="51" t="n"/>
      <c r="T66" s="168" t="n"/>
      <c r="U66" s="169" t="n"/>
      <c r="V66" s="51" t="n"/>
      <c r="W66" s="55" t="n"/>
      <c r="X66" s="1" t="n"/>
    </row>
    <row r="67" ht="24.9" customHeight="1" thickBot="1">
      <c r="B67" s="7" t="n"/>
      <c r="C67" s="3" t="inlineStr">
        <is>
          <t>51</t>
        </is>
      </c>
      <c r="D67" s="4" t="n">
        <v>46062</v>
      </c>
      <c r="E67" s="5" t="inlineStr">
        <is>
          <t>C7</t>
        </is>
      </c>
      <c r="F67" s="3" t="inlineStr">
        <is>
          <t>-4.80</t>
        </is>
      </c>
      <c r="G67" s="6" t="n"/>
      <c r="H67" s="12" t="n">
        <v>3</v>
      </c>
      <c r="I67" s="13" t="n"/>
      <c r="J67" s="13" t="n">
        <v>1</v>
      </c>
      <c r="K67" s="14" t="n"/>
      <c r="L67" s="18" t="n"/>
      <c r="M67" s="19" t="n"/>
      <c r="N67" s="32" t="n"/>
      <c r="O67" s="20" t="n"/>
      <c r="P67" s="25" t="n"/>
      <c r="Q67" s="35" t="n"/>
      <c r="R67" s="26" t="n"/>
      <c r="S67" s="51" t="n"/>
      <c r="T67" s="168" t="n"/>
      <c r="U67" s="169" t="n"/>
      <c r="V67" s="51" t="n"/>
      <c r="W67" s="55" t="n"/>
      <c r="X67" s="1" t="n"/>
    </row>
    <row r="68" ht="24.9" customHeight="1" thickBot="1">
      <c r="B68" s="7" t="n"/>
      <c r="C68" s="3" t="inlineStr">
        <is>
          <t>52</t>
        </is>
      </c>
      <c r="D68" s="4" t="n">
        <v>46066</v>
      </c>
      <c r="E68" s="5" t="inlineStr">
        <is>
          <t>C6-7</t>
        </is>
      </c>
      <c r="F68" s="3" t="inlineStr">
        <is>
          <t>-10.60</t>
        </is>
      </c>
      <c r="G68" s="6" t="n"/>
      <c r="H68" s="12" t="n"/>
      <c r="I68" s="13" t="n"/>
      <c r="J68" s="13" t="n">
        <v>2</v>
      </c>
      <c r="K68" s="14" t="n"/>
      <c r="L68" s="18" t="n"/>
      <c r="M68" s="19" t="n"/>
      <c r="N68" s="32" t="n">
        <v>2</v>
      </c>
      <c r="O68" s="20" t="n"/>
      <c r="P68" s="25" t="n"/>
      <c r="Q68" s="35" t="n"/>
      <c r="R68" s="26" t="n"/>
      <c r="S68" s="51" t="n"/>
      <c r="T68" s="168" t="n"/>
      <c r="U68" s="169" t="n"/>
      <c r="V68" s="51" t="n"/>
      <c r="W68" s="55" t="n"/>
      <c r="X68" s="1" t="n"/>
    </row>
    <row r="69" ht="24.9" customHeight="1" thickBot="1">
      <c r="B69" s="7" t="n"/>
      <c r="C69" s="3" t="inlineStr">
        <is>
          <t>53</t>
        </is>
      </c>
      <c r="D69" s="4" t="n">
        <v>46069</v>
      </c>
      <c r="E69" s="5" t="inlineStr">
        <is>
          <t>C3-C5</t>
        </is>
      </c>
      <c r="F69" s="3" t="inlineStr">
        <is>
          <t>5.20</t>
        </is>
      </c>
      <c r="G69" s="6" t="n"/>
      <c r="H69" s="12" t="n"/>
      <c r="I69" s="13" t="n"/>
      <c r="J69" s="13" t="n">
        <v>4</v>
      </c>
      <c r="K69" s="14" t="n"/>
      <c r="L69" s="18" t="n"/>
      <c r="M69" s="19" t="n"/>
      <c r="N69" s="32" t="n"/>
      <c r="O69" s="20" t="n"/>
      <c r="P69" s="25" t="inlineStr">
        <is>
          <t>40*40*2</t>
        </is>
      </c>
      <c r="Q69" s="35" t="n">
        <v>77.44</v>
      </c>
      <c r="R69" s="26" t="n"/>
      <c r="S69" s="51" t="n"/>
      <c r="T69" s="168" t="n"/>
      <c r="U69" s="169" t="n"/>
      <c r="V69" s="51" t="n"/>
      <c r="W69" s="55" t="n"/>
      <c r="X69" s="1" t="n"/>
    </row>
    <row r="70" ht="24.9" customHeight="1" thickBot="1">
      <c r="B70" s="7" t="n"/>
      <c r="C70" s="3" t="inlineStr">
        <is>
          <t>54</t>
        </is>
      </c>
      <c r="D70" s="4" t="n">
        <v>46078</v>
      </c>
      <c r="E70" s="5" t="inlineStr">
        <is>
          <t>C3</t>
        </is>
      </c>
      <c r="F70" s="3" t="inlineStr">
        <is>
          <t>5.20</t>
        </is>
      </c>
      <c r="G70" s="6" t="n"/>
      <c r="H70" s="12" t="n">
        <v>2</v>
      </c>
      <c r="I70" s="13" t="n"/>
      <c r="J70" s="13" t="n"/>
      <c r="K70" s="14" t="n"/>
      <c r="L70" s="18" t="n"/>
      <c r="M70" s="19" t="n"/>
      <c r="N70" s="32" t="n"/>
      <c r="O70" s="20" t="n"/>
      <c r="P70" s="25" t="inlineStr">
        <is>
          <t>20LİK GAZBETON</t>
        </is>
      </c>
      <c r="Q70" s="35" t="n">
        <v>4.5</v>
      </c>
      <c r="R70" s="26" t="n"/>
      <c r="S70" s="51" t="n"/>
      <c r="T70" s="168" t="n"/>
      <c r="U70" s="169" t="n"/>
      <c r="V70" s="51" t="n"/>
      <c r="W70" s="55" t="n"/>
      <c r="X70" s="1" t="n"/>
    </row>
    <row r="71" ht="24.9" customHeight="1" thickBot="1">
      <c r="B71" s="7" t="n"/>
      <c r="C71" s="3" t="inlineStr">
        <is>
          <t>55</t>
        </is>
      </c>
      <c r="D71" s="4" t="n">
        <v>46079</v>
      </c>
      <c r="E71" s="5" t="inlineStr">
        <is>
          <t>C3</t>
        </is>
      </c>
      <c r="F71" s="3" t="inlineStr">
        <is>
          <t>5.20</t>
        </is>
      </c>
      <c r="G71" s="6" t="n"/>
      <c r="H71" s="12" t="n">
        <v>3</v>
      </c>
      <c r="I71" s="13" t="n"/>
      <c r="J71" s="13" t="n"/>
      <c r="K71" s="14" t="n"/>
      <c r="L71" s="18" t="n"/>
      <c r="M71" s="19" t="n"/>
      <c r="N71" s="32" t="n"/>
      <c r="O71" s="20" t="n"/>
      <c r="P71" s="25" t="inlineStr">
        <is>
          <t>20LİK GAZBETON</t>
        </is>
      </c>
      <c r="Q71" s="35" t="n">
        <v>9</v>
      </c>
      <c r="R71" s="26" t="n"/>
      <c r="S71" s="51" t="n"/>
      <c r="T71" s="168" t="n"/>
      <c r="U71" s="169" t="n"/>
      <c r="V71" s="51" t="n"/>
      <c r="W71" s="55" t="n"/>
      <c r="X71" s="1" t="n"/>
    </row>
    <row r="72" ht="24.9" customHeight="1" thickBot="1">
      <c r="B72" s="7" t="n"/>
      <c r="C72" s="3" t="inlineStr">
        <is>
          <t>56</t>
        </is>
      </c>
      <c r="D72" s="4" t="n">
        <v>46080</v>
      </c>
      <c r="E72" s="5" t="inlineStr">
        <is>
          <t>C7</t>
        </is>
      </c>
      <c r="F72" s="3" t="inlineStr">
        <is>
          <t>-10.60</t>
        </is>
      </c>
      <c r="G72" s="6" t="n"/>
      <c r="H72" s="12" t="n">
        <v>2</v>
      </c>
      <c r="I72" s="13" t="n"/>
      <c r="J72" s="13" t="n"/>
      <c r="K72" s="14" t="n"/>
      <c r="L72" s="18" t="n"/>
      <c r="M72" s="19" t="n"/>
      <c r="N72" s="32" t="n"/>
      <c r="O72" s="20" t="n"/>
      <c r="P72" s="25" t="inlineStr">
        <is>
          <t>2OLİK GAZBETON</t>
        </is>
      </c>
      <c r="Q72" s="35" t="n">
        <v>9</v>
      </c>
      <c r="R72" s="26" t="n"/>
      <c r="S72" s="51" t="n"/>
      <c r="T72" s="168" t="n"/>
      <c r="U72" s="169" t="n"/>
      <c r="V72" s="51" t="n"/>
      <c r="W72" s="55" t="n"/>
      <c r="X72" s="1" t="n"/>
    </row>
    <row r="73" ht="24.9" customHeight="1" thickBot="1">
      <c r="B73" s="7" t="n"/>
      <c r="C73" s="3" t="inlineStr">
        <is>
          <t>57</t>
        </is>
      </c>
      <c r="D73" s="4" t="n">
        <v>46091</v>
      </c>
      <c r="E73" s="5" t="inlineStr">
        <is>
          <t>C3</t>
        </is>
      </c>
      <c r="F73" s="3" t="inlineStr">
        <is>
          <t>0.20</t>
        </is>
      </c>
      <c r="G73" s="6" t="n"/>
      <c r="H73" s="12" t="n">
        <v>2</v>
      </c>
      <c r="I73" s="13" t="n"/>
      <c r="J73" s="13" t="n">
        <v>2</v>
      </c>
      <c r="K73" s="14" t="n"/>
      <c r="L73" s="18" t="n">
        <v>2</v>
      </c>
      <c r="M73" s="19" t="n"/>
      <c r="N73" s="32" t="n">
        <v>2</v>
      </c>
      <c r="O73" s="20" t="n"/>
      <c r="P73" s="46" t="inlineStr">
        <is>
          <t>FX ULTRA</t>
        </is>
      </c>
      <c r="Q73" s="47" t="n">
        <v>30</v>
      </c>
      <c r="R73" s="26" t="inlineStr">
        <is>
          <t>M2</t>
        </is>
      </c>
      <c r="S73" s="51" t="inlineStr">
        <is>
          <t>FX ULTRA</t>
        </is>
      </c>
      <c r="T73" s="168" t="n">
        <v>20</v>
      </c>
      <c r="U73" s="169" t="n"/>
      <c r="V73" s="51" t="inlineStr">
        <is>
          <t>M2</t>
        </is>
      </c>
      <c r="W73" s="55" t="n"/>
      <c r="X73" s="1" t="n"/>
    </row>
    <row r="74" ht="24.9" customHeight="1" thickBot="1">
      <c r="B74" s="7" t="n"/>
      <c r="C74" s="3" t="inlineStr">
        <is>
          <t>58</t>
        </is>
      </c>
      <c r="D74" s="4" t="n">
        <v>46092</v>
      </c>
      <c r="E74" s="5" t="inlineStr">
        <is>
          <t>C5</t>
        </is>
      </c>
      <c r="F74" s="3" t="inlineStr">
        <is>
          <t>5.20</t>
        </is>
      </c>
      <c r="G74" s="6" t="n"/>
      <c r="H74" s="12" t="n">
        <v>2</v>
      </c>
      <c r="I74" s="13" t="n"/>
      <c r="J74" s="13" t="n">
        <v>2</v>
      </c>
      <c r="K74" s="14" t="n"/>
      <c r="L74" s="18" t="n"/>
      <c r="M74" s="19" t="n"/>
      <c r="N74" s="32" t="n"/>
      <c r="O74" s="20" t="n"/>
      <c r="P74" s="46" t="inlineStr">
        <is>
          <t>FX ULTRA</t>
        </is>
      </c>
      <c r="Q74" s="47" t="n">
        <v>25</v>
      </c>
      <c r="R74" s="26" t="n"/>
      <c r="S74" s="51" t="n"/>
      <c r="T74" s="168" t="n"/>
      <c r="U74" s="169" t="n"/>
      <c r="V74" s="51" t="n"/>
      <c r="W74" s="55" t="n"/>
      <c r="X74" s="1" t="n"/>
    </row>
    <row r="75" ht="24.9" customHeight="1" thickBot="1">
      <c r="B75" s="7" t="n"/>
      <c r="C75" s="3" t="inlineStr">
        <is>
          <t>59</t>
        </is>
      </c>
      <c r="D75" s="4" t="n">
        <v>46093</v>
      </c>
      <c r="E75" s="5" t="inlineStr">
        <is>
          <t>C3</t>
        </is>
      </c>
      <c r="F75" s="3" t="inlineStr">
        <is>
          <t>5.20</t>
        </is>
      </c>
      <c r="G75" s="6" t="n"/>
      <c r="H75" s="12" t="n">
        <v>2</v>
      </c>
      <c r="I75" s="13" t="n"/>
      <c r="J75" s="13" t="n">
        <v>2</v>
      </c>
      <c r="K75" s="14" t="n"/>
      <c r="L75" s="18" t="n">
        <v>2</v>
      </c>
      <c r="M75" s="19" t="n"/>
      <c r="N75" s="32" t="n">
        <v>2</v>
      </c>
      <c r="O75" s="20" t="n"/>
      <c r="P75" s="46" t="inlineStr">
        <is>
          <t>FX ULTRA</t>
        </is>
      </c>
      <c r="Q75" s="47" t="n">
        <v>35</v>
      </c>
      <c r="R75" s="26" t="inlineStr">
        <is>
          <t>M2</t>
        </is>
      </c>
      <c r="S75" s="51" t="inlineStr">
        <is>
          <t>FX ULTRA</t>
        </is>
      </c>
      <c r="T75" s="168" t="n">
        <v>25</v>
      </c>
      <c r="U75" s="169" t="n"/>
      <c r="V75" s="51" t="inlineStr">
        <is>
          <t>M2</t>
        </is>
      </c>
      <c r="W75" s="55" t="n"/>
      <c r="X75" s="1" t="n"/>
    </row>
    <row r="76" ht="24.9" customHeight="1" thickBot="1">
      <c r="B76" s="7" t="n"/>
      <c r="C76" s="3" t="inlineStr">
        <is>
          <t>60</t>
        </is>
      </c>
      <c r="D76" s="4" t="n">
        <v>46094</v>
      </c>
      <c r="E76" s="5" t="inlineStr">
        <is>
          <t>C3</t>
        </is>
      </c>
      <c r="F76" s="3" t="inlineStr">
        <is>
          <t>10.20</t>
        </is>
      </c>
      <c r="G76" s="6" t="n"/>
      <c r="H76" s="12" t="n">
        <v>2</v>
      </c>
      <c r="I76" s="13" t="n"/>
      <c r="J76" s="13" t="n">
        <v>2</v>
      </c>
      <c r="K76" s="14" t="n"/>
      <c r="L76" s="18" t="n"/>
      <c r="M76" s="19" t="n"/>
      <c r="N76" s="32" t="n"/>
      <c r="O76" s="20" t="n"/>
      <c r="P76" s="25" t="inlineStr">
        <is>
          <t>FX ULTRA</t>
        </is>
      </c>
      <c r="Q76" s="35" t="n">
        <v>25</v>
      </c>
      <c r="R76" s="26" t="n"/>
      <c r="S76" s="51" t="n"/>
      <c r="T76" s="168" t="n"/>
      <c r="U76" s="169" t="n"/>
      <c r="V76" s="51" t="n"/>
      <c r="W76" s="55" t="n"/>
      <c r="X76" s="1" t="n"/>
    </row>
    <row r="77" ht="24.9" customHeight="1" thickBot="1">
      <c r="B77" s="7" t="n"/>
      <c r="C77" s="3" t="inlineStr">
        <is>
          <t>61</t>
        </is>
      </c>
      <c r="D77" s="4" t="n">
        <v>46094</v>
      </c>
      <c r="E77" s="5" t="inlineStr">
        <is>
          <t>C5</t>
        </is>
      </c>
      <c r="F77" s="3" t="inlineStr">
        <is>
          <t>5.20</t>
        </is>
      </c>
      <c r="G77" s="6" t="inlineStr">
        <is>
          <t>C5-1-213/214</t>
        </is>
      </c>
      <c r="H77" s="12" t="n">
        <v>2</v>
      </c>
      <c r="I77" s="13" t="n"/>
      <c r="J77" s="13" t="n"/>
      <c r="K77" s="14" t="n"/>
      <c r="L77" s="18" t="n"/>
      <c r="M77" s="19" t="n"/>
      <c r="N77" s="32" t="n"/>
      <c r="O77" s="20" t="n"/>
      <c r="P77" s="25" t="n"/>
      <c r="Q77" s="35" t="n"/>
      <c r="R77" s="26" t="n"/>
      <c r="S77" s="51" t="n"/>
      <c r="T77" s="168" t="n"/>
      <c r="U77" s="169" t="n"/>
      <c r="V77" s="51" t="n"/>
      <c r="W77" s="55" t="n"/>
      <c r="X77" s="1" t="n"/>
    </row>
    <row r="78" ht="24.9" customHeight="1" thickBot="1">
      <c r="B78" s="7" t="n"/>
      <c r="C78" s="3" t="inlineStr">
        <is>
          <t>62</t>
        </is>
      </c>
      <c r="D78" s="4" t="n">
        <v>46094</v>
      </c>
      <c r="E78" s="5" t="inlineStr">
        <is>
          <t>C7</t>
        </is>
      </c>
      <c r="F78" s="3" t="inlineStr">
        <is>
          <t>-4.80</t>
        </is>
      </c>
      <c r="G78" s="6" t="inlineStr">
        <is>
          <t>C-AZ-194</t>
        </is>
      </c>
      <c r="H78" s="12" t="n">
        <v>2</v>
      </c>
      <c r="I78" s="13" t="n"/>
      <c r="J78" s="13" t="n"/>
      <c r="K78" s="14" t="n"/>
      <c r="L78" s="18" t="n"/>
      <c r="M78" s="19" t="n"/>
      <c r="N78" s="32" t="n"/>
      <c r="O78" s="20" t="n"/>
      <c r="P78" s="46" t="inlineStr">
        <is>
          <t>FX ULTRA</t>
        </is>
      </c>
      <c r="Q78" s="47" t="n">
        <v>52</v>
      </c>
      <c r="R78" s="26" t="n"/>
      <c r="S78" s="51" t="n"/>
      <c r="T78" s="168" t="n"/>
      <c r="U78" s="169" t="n"/>
      <c r="V78" s="51" t="n"/>
      <c r="W78" s="55" t="n"/>
      <c r="X78" s="1" t="n"/>
    </row>
    <row r="79" ht="24.9" customHeight="1" thickBot="1">
      <c r="B79" s="7" t="n"/>
      <c r="C79" s="3" t="n"/>
      <c r="D79" s="4" t="n"/>
      <c r="E79" s="5" t="n"/>
      <c r="F79" s="3" t="n"/>
      <c r="G79" s="6" t="n"/>
      <c r="H79" s="12" t="n"/>
      <c r="I79" s="13" t="n"/>
      <c r="J79" s="13" t="n"/>
      <c r="K79" s="14" t="n"/>
      <c r="L79" s="18" t="n"/>
      <c r="M79" s="19" t="n"/>
      <c r="N79" s="32" t="n"/>
      <c r="O79" s="20" t="n"/>
      <c r="P79" s="46" t="inlineStr">
        <is>
          <t>4 CM MİNERAL YÜN</t>
        </is>
      </c>
      <c r="Q79" s="47" t="n">
        <v>26</v>
      </c>
      <c r="R79" s="26" t="n"/>
      <c r="S79" s="51" t="n"/>
      <c r="T79" s="168" t="n"/>
      <c r="U79" s="169" t="n"/>
      <c r="V79" s="51" t="n"/>
      <c r="W79" s="55" t="n"/>
      <c r="X79" s="1" t="n"/>
    </row>
    <row r="80" ht="24.9" customHeight="1" thickBot="1">
      <c r="B80" s="7" t="n"/>
      <c r="C80" s="3" t="n">
        <v>63</v>
      </c>
      <c r="D80" s="4" t="n">
        <v>46094</v>
      </c>
      <c r="E80" s="5" t="inlineStr">
        <is>
          <t>C6-7</t>
        </is>
      </c>
      <c r="F80" s="3" t="inlineStr">
        <is>
          <t>-4.80</t>
        </is>
      </c>
      <c r="G80" s="6" t="n"/>
      <c r="H80" s="12" t="n">
        <v>1</v>
      </c>
      <c r="I80" s="13" t="n"/>
      <c r="J80" s="13" t="n"/>
      <c r="K80" s="14" t="n"/>
      <c r="L80" s="18" t="n"/>
      <c r="M80" s="19" t="n"/>
      <c r="N80" s="32" t="n"/>
      <c r="O80" s="20" t="n"/>
      <c r="P80" s="25" t="n"/>
      <c r="Q80" s="35" t="n"/>
      <c r="R80" s="26" t="n"/>
      <c r="S80" s="51" t="n"/>
      <c r="T80" s="168" t="n"/>
      <c r="U80" s="169" t="n"/>
      <c r="V80" s="51" t="n"/>
      <c r="W80" s="55" t="n"/>
      <c r="X80" s="1" t="n"/>
    </row>
    <row r="81" ht="24.9" customHeight="1" thickBot="1">
      <c r="B81" s="7" t="n"/>
      <c r="C81" s="3" t="inlineStr">
        <is>
          <t>64</t>
        </is>
      </c>
      <c r="D81" s="4" t="n">
        <v>46094</v>
      </c>
      <c r="E81" s="5" t="inlineStr">
        <is>
          <t>C5</t>
        </is>
      </c>
      <c r="F81" s="3" t="inlineStr">
        <is>
          <t>25.20</t>
        </is>
      </c>
      <c r="G81" s="6" t="n"/>
      <c r="H81" s="12" t="n">
        <v>1</v>
      </c>
      <c r="I81" s="13" t="n"/>
      <c r="J81" s="13" t="n">
        <v>1</v>
      </c>
      <c r="K81" s="14" t="n"/>
      <c r="L81" s="18" t="n">
        <v>1</v>
      </c>
      <c r="M81" s="19" t="n"/>
      <c r="N81" s="32" t="n">
        <v>1</v>
      </c>
      <c r="O81" s="20" t="n"/>
      <c r="P81" s="25" t="n"/>
      <c r="Q81" s="35" t="n"/>
      <c r="R81" s="26" t="n"/>
      <c r="S81" s="51" t="n"/>
      <c r="T81" s="168" t="n"/>
      <c r="U81" s="169" t="n"/>
      <c r="V81" s="51" t="n"/>
      <c r="W81" s="55" t="n"/>
      <c r="X81" s="1" t="n"/>
    </row>
    <row r="82" ht="24.9" customHeight="1" thickBot="1">
      <c r="B82" s="7" t="n"/>
      <c r="C82" s="3" t="inlineStr">
        <is>
          <t>65</t>
        </is>
      </c>
      <c r="D82" s="4" t="n">
        <v>46094</v>
      </c>
      <c r="E82" s="5" t="inlineStr">
        <is>
          <t>C4</t>
        </is>
      </c>
      <c r="F82" s="3" t="inlineStr">
        <is>
          <t>0.20</t>
        </is>
      </c>
      <c r="G82" s="6" t="n"/>
      <c r="H82" s="12" t="n">
        <v>2</v>
      </c>
      <c r="I82" s="13" t="n"/>
      <c r="J82" s="13" t="n"/>
      <c r="K82" s="14" t="n"/>
      <c r="L82" s="18" t="n">
        <v>1</v>
      </c>
      <c r="M82" s="19" t="n"/>
      <c r="N82" s="32" t="n"/>
      <c r="O82" s="20" t="n"/>
      <c r="P82" s="46" t="inlineStr">
        <is>
          <t>40*40*2</t>
        </is>
      </c>
      <c r="Q82" s="47" t="n">
        <v>42</v>
      </c>
      <c r="R82" s="26" t="inlineStr">
        <is>
          <t>MT</t>
        </is>
      </c>
      <c r="S82" s="51" t="inlineStr">
        <is>
          <t>40*40*2</t>
        </is>
      </c>
      <c r="T82" s="168" t="n">
        <v>25</v>
      </c>
      <c r="U82" s="169" t="n"/>
      <c r="V82" s="51" t="inlineStr">
        <is>
          <t>MT</t>
        </is>
      </c>
      <c r="W82" s="55" t="n"/>
      <c r="X82" s="1" t="n"/>
    </row>
    <row r="83" ht="24.9" customHeight="1" thickBot="1">
      <c r="B83" s="7" t="n"/>
      <c r="C83" s="3" t="inlineStr">
        <is>
          <t>66</t>
        </is>
      </c>
      <c r="D83" s="4" t="n">
        <v>46095</v>
      </c>
      <c r="E83" s="5" t="inlineStr">
        <is>
          <t>C5</t>
        </is>
      </c>
      <c r="F83" s="3" t="n"/>
      <c r="G83" s="6" t="n"/>
      <c r="H83" s="12" t="n">
        <v>1</v>
      </c>
      <c r="I83" s="13" t="n"/>
      <c r="J83" s="13" t="n"/>
      <c r="K83" s="14" t="n"/>
      <c r="L83" s="18" t="n"/>
      <c r="M83" s="19" t="n"/>
      <c r="N83" s="32" t="n"/>
      <c r="O83" s="20" t="n"/>
      <c r="P83" s="46" t="n"/>
      <c r="Q83" s="47" t="n"/>
      <c r="R83" s="26" t="n"/>
      <c r="S83" s="51" t="n"/>
      <c r="T83" s="168" t="n"/>
      <c r="U83" s="169" t="n"/>
      <c r="V83" s="51" t="n"/>
      <c r="W83" s="55" t="n"/>
      <c r="X83" s="1" t="n"/>
    </row>
    <row r="84" ht="24.9" customHeight="1" thickBot="1">
      <c r="B84" s="7" t="n"/>
      <c r="C84" s="3" t="inlineStr">
        <is>
          <t>67</t>
        </is>
      </c>
      <c r="D84" s="4" t="n">
        <v>46095</v>
      </c>
      <c r="E84" s="5" t="inlineStr">
        <is>
          <t>C5</t>
        </is>
      </c>
      <c r="F84" s="3" t="n"/>
      <c r="G84" s="6" t="n"/>
      <c r="H84" s="12" t="n">
        <v>1</v>
      </c>
      <c r="I84" s="13" t="n"/>
      <c r="J84" s="13" t="n"/>
      <c r="K84" s="14" t="n"/>
      <c r="L84" s="18" t="n"/>
      <c r="M84" s="19" t="n"/>
      <c r="N84" s="32" t="n"/>
      <c r="O84" s="20" t="n"/>
      <c r="P84" s="25" t="n"/>
      <c r="Q84" s="35" t="n"/>
      <c r="R84" s="26" t="n"/>
      <c r="S84" s="51" t="n"/>
      <c r="T84" s="168" t="n"/>
      <c r="U84" s="169" t="n"/>
      <c r="V84" s="51" t="n"/>
      <c r="W84" s="55" t="n"/>
      <c r="X84" s="1" t="n"/>
    </row>
    <row r="85" ht="24.9" customHeight="1" thickBot="1">
      <c r="B85" s="7" t="n"/>
      <c r="C85" s="3" t="inlineStr">
        <is>
          <t>68</t>
        </is>
      </c>
      <c r="D85" s="4" t="n">
        <v>46096</v>
      </c>
      <c r="E85" s="5" t="inlineStr">
        <is>
          <t>C5</t>
        </is>
      </c>
      <c r="F85" s="3" t="n"/>
      <c r="G85" s="6" t="n"/>
      <c r="H85" s="12" t="n">
        <v>1</v>
      </c>
      <c r="I85" s="13" t="n"/>
      <c r="J85" s="13" t="n"/>
      <c r="K85" s="14" t="n"/>
      <c r="L85" s="18" t="n"/>
      <c r="M85" s="19" t="n"/>
      <c r="N85" s="32" t="n"/>
      <c r="O85" s="20" t="n"/>
      <c r="P85" s="25" t="n"/>
      <c r="Q85" s="35" t="n"/>
      <c r="R85" s="26" t="n"/>
      <c r="S85" s="51" t="n"/>
      <c r="T85" s="168" t="n"/>
      <c r="U85" s="169" t="n"/>
      <c r="V85" s="51" t="n"/>
      <c r="W85" s="55" t="n"/>
      <c r="X85" s="1" t="n"/>
    </row>
    <row r="86" ht="24.9" customHeight="1" thickBot="1">
      <c r="B86" s="7" t="n"/>
      <c r="C86" s="3" t="inlineStr">
        <is>
          <t>69</t>
        </is>
      </c>
      <c r="D86" s="4" t="n">
        <v>46094</v>
      </c>
      <c r="E86" s="5" t="inlineStr">
        <is>
          <t>C3</t>
        </is>
      </c>
      <c r="F86" s="3" t="n"/>
      <c r="G86" s="6" t="n"/>
      <c r="H86" s="12" t="n">
        <v>1</v>
      </c>
      <c r="I86" s="13" t="n"/>
      <c r="J86" s="13" t="n"/>
      <c r="K86" s="14" t="n"/>
      <c r="L86" s="18" t="n"/>
      <c r="M86" s="19" t="n"/>
      <c r="N86" s="32" t="n"/>
      <c r="O86" s="20" t="n"/>
      <c r="P86" s="46" t="n"/>
      <c r="Q86" s="47" t="n"/>
      <c r="R86" s="26" t="n"/>
      <c r="S86" s="51" t="n"/>
      <c r="T86" s="168" t="n"/>
      <c r="U86" s="169" t="n"/>
      <c r="V86" s="51" t="n"/>
      <c r="W86" s="55" t="n"/>
      <c r="X86" s="1" t="n"/>
    </row>
    <row r="87" ht="24.9" customHeight="1" thickBot="1">
      <c r="B87" s="7" t="n"/>
      <c r="C87" s="3" t="inlineStr">
        <is>
          <t>70</t>
        </is>
      </c>
      <c r="D87" s="4" t="n">
        <v>46093</v>
      </c>
      <c r="E87" s="5" t="inlineStr">
        <is>
          <t>C3</t>
        </is>
      </c>
      <c r="F87" s="3" t="n"/>
      <c r="G87" s="6" t="n"/>
      <c r="H87" s="12" t="n">
        <v>1</v>
      </c>
      <c r="I87" s="13" t="n"/>
      <c r="J87" s="13" t="n"/>
      <c r="K87" s="14" t="n"/>
      <c r="L87" s="18" t="n"/>
      <c r="M87" s="19" t="n"/>
      <c r="N87" s="32" t="n"/>
      <c r="O87" s="20" t="n"/>
      <c r="P87" s="46" t="n"/>
      <c r="Q87" s="47" t="n"/>
      <c r="R87" s="26" t="n"/>
      <c r="S87" s="51" t="n"/>
      <c r="T87" s="168" t="n"/>
      <c r="U87" s="169" t="n"/>
      <c r="V87" s="51" t="n"/>
      <c r="W87" s="55" t="n"/>
      <c r="X87" s="1" t="n"/>
    </row>
    <row r="88" ht="24.9" customHeight="1" thickBot="1">
      <c r="B88" s="7" t="n"/>
      <c r="C88" s="3" t="inlineStr">
        <is>
          <t>71</t>
        </is>
      </c>
      <c r="D88" s="4" t="n">
        <v>46092</v>
      </c>
      <c r="E88" s="5" t="inlineStr">
        <is>
          <t>C5</t>
        </is>
      </c>
      <c r="F88" s="3" t="n"/>
      <c r="G88" s="6" t="n"/>
      <c r="H88" s="12" t="n">
        <v>1</v>
      </c>
      <c r="I88" s="13" t="n"/>
      <c r="J88" s="13" t="n"/>
      <c r="K88" s="14" t="n"/>
      <c r="L88" s="18" t="n"/>
      <c r="M88" s="19" t="n"/>
      <c r="N88" s="32" t="n"/>
      <c r="O88" s="20" t="n"/>
      <c r="P88" s="25" t="n"/>
      <c r="Q88" s="35" t="n"/>
      <c r="R88" s="26" t="n"/>
      <c r="S88" s="51" t="n"/>
      <c r="T88" s="168" t="n"/>
      <c r="U88" s="169" t="n"/>
      <c r="V88" s="51" t="n"/>
      <c r="W88" s="55" t="n"/>
      <c r="X88" s="1" t="n"/>
    </row>
    <row r="89" ht="24.9" customHeight="1" thickBot="1">
      <c r="B89" s="7" t="n"/>
      <c r="C89" s="3" t="inlineStr">
        <is>
          <t>72</t>
        </is>
      </c>
      <c r="D89" s="4" t="n">
        <v>46091</v>
      </c>
      <c r="E89" s="5" t="inlineStr">
        <is>
          <t>C3</t>
        </is>
      </c>
      <c r="F89" s="3" t="n"/>
      <c r="G89" s="6" t="n"/>
      <c r="H89" s="12" t="n">
        <v>1</v>
      </c>
      <c r="I89" s="13" t="n"/>
      <c r="J89" s="13" t="n"/>
      <c r="K89" s="14" t="n"/>
      <c r="L89" s="18" t="n"/>
      <c r="M89" s="19" t="n"/>
      <c r="N89" s="32" t="n"/>
      <c r="O89" s="20" t="n"/>
      <c r="P89" s="25" t="n"/>
      <c r="Q89" s="35" t="n"/>
      <c r="R89" s="26" t="n"/>
      <c r="S89" s="51" t="n"/>
      <c r="T89" s="168" t="n"/>
      <c r="U89" s="169" t="n"/>
      <c r="V89" s="51" t="n"/>
      <c r="W89" s="55" t="n"/>
      <c r="X89" s="1" t="n"/>
    </row>
    <row r="90" ht="24.9" customHeight="1" thickBot="1">
      <c r="B90" s="7" t="n"/>
      <c r="C90" s="3" t="inlineStr">
        <is>
          <t>73</t>
        </is>
      </c>
      <c r="D90" s="4" t="n">
        <v>46090</v>
      </c>
      <c r="E90" s="5" t="inlineStr">
        <is>
          <t>C3</t>
        </is>
      </c>
      <c r="F90" s="3" t="n"/>
      <c r="G90" s="6" t="n"/>
      <c r="H90" s="12" t="n">
        <v>1</v>
      </c>
      <c r="I90" s="13" t="n"/>
      <c r="J90" s="13" t="n"/>
      <c r="K90" s="14" t="n"/>
      <c r="L90" s="18" t="n"/>
      <c r="M90" s="19" t="n"/>
      <c r="N90" s="32" t="n"/>
      <c r="O90" s="20" t="n"/>
      <c r="P90" s="46" t="n"/>
      <c r="Q90" s="47" t="n"/>
      <c r="R90" s="26" t="n"/>
      <c r="S90" s="51" t="n"/>
      <c r="T90" s="168" t="n"/>
      <c r="U90" s="169" t="n"/>
      <c r="V90" s="51" t="n"/>
      <c r="W90" s="55" t="n"/>
      <c r="X90" s="1" t="n"/>
    </row>
    <row r="91" ht="24.9" customHeight="1" thickBot="1">
      <c r="B91" s="7" t="n"/>
      <c r="C91" s="3" t="inlineStr">
        <is>
          <t>74</t>
        </is>
      </c>
      <c r="D91" s="4" t="n">
        <v>46097</v>
      </c>
      <c r="E91" s="5" t="inlineStr">
        <is>
          <t>C5</t>
        </is>
      </c>
      <c r="F91" s="3" t="n"/>
      <c r="G91" s="6" t="n"/>
      <c r="H91" s="12" t="n">
        <v>1</v>
      </c>
      <c r="I91" s="13" t="n"/>
      <c r="J91" s="13" t="n"/>
      <c r="K91" s="14" t="n"/>
      <c r="L91" s="18" t="n"/>
      <c r="M91" s="19" t="n"/>
      <c r="N91" s="32" t="n"/>
      <c r="O91" s="20" t="n"/>
      <c r="P91" s="46" t="n"/>
      <c r="Q91" s="47" t="n"/>
      <c r="R91" s="26" t="n"/>
      <c r="S91" s="51" t="n"/>
      <c r="T91" s="168" t="n"/>
      <c r="U91" s="169" t="n"/>
      <c r="V91" s="51" t="n"/>
      <c r="W91" s="55" t="n"/>
      <c r="X91" s="1" t="n"/>
    </row>
    <row r="92" ht="24.9" customHeight="1" thickBot="1">
      <c r="B92" s="7" t="n"/>
      <c r="C92" s="3" t="inlineStr">
        <is>
          <t>75</t>
        </is>
      </c>
      <c r="D92" s="4" t="n">
        <v>46098</v>
      </c>
      <c r="E92" s="5" t="inlineStr">
        <is>
          <t>C5</t>
        </is>
      </c>
      <c r="F92" s="3" t="inlineStr">
        <is>
          <t>15.20</t>
        </is>
      </c>
      <c r="G92" s="6" t="n"/>
      <c r="H92" s="12" t="n">
        <v>1</v>
      </c>
      <c r="I92" s="13" t="n"/>
      <c r="J92" s="13" t="n"/>
      <c r="K92" s="14" t="n"/>
      <c r="L92" s="18" t="n"/>
      <c r="M92" s="19" t="n"/>
      <c r="N92" s="32" t="n"/>
      <c r="O92" s="20" t="n"/>
      <c r="P92" s="25" t="n"/>
      <c r="Q92" s="35" t="n"/>
      <c r="R92" s="26" t="n"/>
      <c r="S92" s="51" t="n"/>
      <c r="T92" s="168" t="n"/>
      <c r="U92" s="169" t="n"/>
      <c r="V92" s="51" t="n"/>
      <c r="W92" s="55" t="n"/>
      <c r="X92" s="1" t="n"/>
    </row>
    <row r="93" ht="24.9" customHeight="1" thickBot="1">
      <c r="B93" s="7" t="n"/>
      <c r="C93" s="3" t="inlineStr">
        <is>
          <t>76</t>
        </is>
      </c>
      <c r="D93" s="4" t="n">
        <v>46099</v>
      </c>
      <c r="E93" s="5" t="inlineStr">
        <is>
          <t>C5</t>
        </is>
      </c>
      <c r="F93" s="3" t="inlineStr">
        <is>
          <t>15.20</t>
        </is>
      </c>
      <c r="G93" s="6" t="n"/>
      <c r="H93" s="12" t="n">
        <v>1</v>
      </c>
      <c r="I93" s="13" t="n"/>
      <c r="J93" s="13" t="n"/>
      <c r="K93" s="14" t="n"/>
      <c r="L93" s="18" t="n"/>
      <c r="M93" s="19" t="n"/>
      <c r="N93" s="32" t="n"/>
      <c r="O93" s="20" t="n"/>
      <c r="P93" s="25" t="n"/>
      <c r="Q93" s="35" t="n"/>
      <c r="R93" s="26" t="n"/>
      <c r="S93" s="51" t="n"/>
      <c r="T93" s="168" t="n"/>
      <c r="U93" s="169" t="n"/>
      <c r="V93" s="51" t="n"/>
      <c r="W93" s="55" t="n"/>
      <c r="X93" s="1" t="n"/>
    </row>
    <row r="94" ht="24.9" customHeight="1" thickBot="1">
      <c r="B94" s="7" t="n"/>
      <c r="C94" s="3" t="inlineStr">
        <is>
          <t>77</t>
        </is>
      </c>
      <c r="D94" s="4" t="n">
        <v>46105</v>
      </c>
      <c r="E94" s="5" t="inlineStr">
        <is>
          <t>C5</t>
        </is>
      </c>
      <c r="F94" s="3" t="inlineStr">
        <is>
          <t>15.20</t>
        </is>
      </c>
      <c r="G94" s="6" t="n"/>
      <c r="H94" s="12" t="n">
        <v>1</v>
      </c>
      <c r="I94" s="13" t="n"/>
      <c r="J94" s="13" t="n"/>
      <c r="K94" s="14" t="n"/>
      <c r="L94" s="18" t="n"/>
      <c r="M94" s="19" t="n"/>
      <c r="N94" s="32" t="n"/>
      <c r="O94" s="20" t="n"/>
      <c r="P94" s="46" t="n"/>
      <c r="Q94" s="47" t="n"/>
      <c r="R94" s="26" t="n"/>
      <c r="S94" s="51" t="n"/>
      <c r="T94" s="168" t="n"/>
      <c r="U94" s="169" t="n"/>
      <c r="V94" s="51" t="n"/>
      <c r="W94" s="55" t="n"/>
      <c r="X94" s="1" t="n"/>
    </row>
    <row r="95" ht="24.9" customHeight="1" thickBot="1">
      <c r="B95" s="7" t="n"/>
      <c r="C95" s="3" t="inlineStr">
        <is>
          <t>78</t>
        </is>
      </c>
      <c r="D95" s="4" t="n">
        <v>46106</v>
      </c>
      <c r="E95" s="5" t="inlineStr">
        <is>
          <t>C5</t>
        </is>
      </c>
      <c r="F95" s="3" t="inlineStr">
        <is>
          <t>15.20</t>
        </is>
      </c>
      <c r="G95" s="6" t="n"/>
      <c r="H95" s="12" t="n">
        <v>1</v>
      </c>
      <c r="I95" s="13" t="n"/>
      <c r="J95" s="13" t="n"/>
      <c r="K95" s="14" t="n"/>
      <c r="L95" s="18" t="n"/>
      <c r="M95" s="19" t="n"/>
      <c r="N95" s="32" t="n"/>
      <c r="O95" s="20" t="n"/>
      <c r="P95" s="46" t="n"/>
      <c r="Q95" s="47" t="n"/>
      <c r="R95" s="26" t="n"/>
      <c r="S95" s="51" t="n"/>
      <c r="T95" s="168" t="n"/>
      <c r="U95" s="169" t="n"/>
      <c r="V95" s="51" t="n"/>
      <c r="W95" s="55" t="n"/>
      <c r="X95" s="1" t="n"/>
    </row>
    <row r="96" ht="24.9" customHeight="1" thickBot="1">
      <c r="B96" s="7" t="n"/>
      <c r="C96" s="3" t="inlineStr">
        <is>
          <t>79</t>
        </is>
      </c>
      <c r="D96" s="4" t="n">
        <v>46107</v>
      </c>
      <c r="E96" s="5" t="inlineStr">
        <is>
          <t>C5</t>
        </is>
      </c>
      <c r="F96" s="3" t="inlineStr">
        <is>
          <t>20.20</t>
        </is>
      </c>
      <c r="G96" s="6" t="n"/>
      <c r="H96" s="12" t="n">
        <v>2</v>
      </c>
      <c r="I96" s="13" t="n"/>
      <c r="J96" s="13" t="n"/>
      <c r="K96" s="14" t="n"/>
      <c r="L96" s="18" t="n"/>
      <c r="M96" s="19" t="n"/>
      <c r="N96" s="32" t="n"/>
      <c r="O96" s="20" t="n"/>
      <c r="P96" s="25" t="n"/>
      <c r="Q96" s="35" t="n"/>
      <c r="R96" s="26" t="n"/>
      <c r="S96" s="51" t="n"/>
      <c r="T96" s="168" t="n"/>
      <c r="U96" s="169" t="n"/>
      <c r="V96" s="51" t="n"/>
      <c r="W96" s="55" t="n"/>
      <c r="X96" s="1" t="n"/>
    </row>
    <row r="97" ht="24.9" customHeight="1" thickBot="1">
      <c r="B97" s="7" t="n"/>
      <c r="C97" s="3" t="n">
        <v>80</v>
      </c>
      <c r="D97" s="4" t="n">
        <v>46108</v>
      </c>
      <c r="E97" s="5" t="inlineStr">
        <is>
          <t>C5</t>
        </is>
      </c>
      <c r="F97" s="3" t="inlineStr">
        <is>
          <t>15.20</t>
        </is>
      </c>
      <c r="G97" s="6" t="n"/>
      <c r="H97" s="12" t="n">
        <v>1</v>
      </c>
      <c r="I97" s="13" t="n"/>
      <c r="J97" s="13" t="n"/>
      <c r="K97" s="14" t="n"/>
      <c r="L97" s="18" t="n"/>
      <c r="M97" s="19" t="n"/>
      <c r="N97" s="32" t="n"/>
      <c r="O97" s="20" t="n"/>
      <c r="P97" s="25" t="n"/>
      <c r="Q97" s="35" t="n"/>
      <c r="R97" s="26" t="n"/>
      <c r="S97" s="51" t="n"/>
      <c r="T97" s="168" t="n"/>
      <c r="U97" s="169" t="n"/>
      <c r="V97" s="51" t="n"/>
      <c r="W97" s="55" t="n"/>
      <c r="X97" s="1" t="n"/>
    </row>
    <row r="98" ht="24.9" customHeight="1" thickBot="1">
      <c r="B98" s="7" t="n"/>
      <c r="C98" s="3" t="inlineStr">
        <is>
          <t>81</t>
        </is>
      </c>
      <c r="D98" s="4" t="n">
        <v>46108</v>
      </c>
      <c r="E98" s="5" t="inlineStr">
        <is>
          <t>C5</t>
        </is>
      </c>
      <c r="F98" s="3" t="inlineStr">
        <is>
          <t>20.20</t>
        </is>
      </c>
      <c r="G98" s="6" t="n"/>
      <c r="H98" s="12" t="n"/>
      <c r="I98" s="13" t="n"/>
      <c r="J98" s="13" t="n">
        <v>4</v>
      </c>
      <c r="K98" s="14" t="n"/>
      <c r="L98" s="18" t="n"/>
      <c r="M98" s="19" t="n"/>
      <c r="N98" s="32" t="n"/>
      <c r="O98" s="20" t="n"/>
      <c r="P98" s="46" t="n"/>
      <c r="Q98" s="47" t="n"/>
      <c r="R98" s="26" t="n"/>
      <c r="S98" s="51" t="n"/>
      <c r="T98" s="168" t="n"/>
      <c r="U98" s="169" t="n"/>
      <c r="V98" s="51" t="n"/>
      <c r="W98" s="55" t="n"/>
      <c r="X98" s="1" t="n"/>
    </row>
    <row r="99" ht="24.9" customHeight="1" thickBot="1">
      <c r="B99" s="7" t="n"/>
      <c r="C99" s="3" t="inlineStr">
        <is>
          <t>82</t>
        </is>
      </c>
      <c r="D99" s="4" t="n">
        <v>46109</v>
      </c>
      <c r="E99" s="5" t="inlineStr">
        <is>
          <t>C7</t>
        </is>
      </c>
      <c r="F99" s="3" t="inlineStr">
        <is>
          <t>-10.60</t>
        </is>
      </c>
      <c r="G99" s="6" t="n"/>
      <c r="H99" s="12" t="n"/>
      <c r="I99" s="13" t="n"/>
      <c r="J99" s="13" t="n"/>
      <c r="K99" s="14" t="n"/>
      <c r="L99" s="18" t="n"/>
      <c r="M99" s="19" t="n"/>
      <c r="N99" s="32" t="n"/>
      <c r="O99" s="20" t="n"/>
      <c r="P99" s="46" t="inlineStr">
        <is>
          <t>GEOFAM 10 CM</t>
        </is>
      </c>
      <c r="Q99" s="47" t="n">
        <v>94</v>
      </c>
      <c r="R99" s="26" t="inlineStr">
        <is>
          <t>PAKET</t>
        </is>
      </c>
      <c r="S99" s="51" t="inlineStr">
        <is>
          <t>GEOFAM 10 CM</t>
        </is>
      </c>
      <c r="T99" s="168" t="n">
        <v>94</v>
      </c>
      <c r="U99" s="169" t="n"/>
      <c r="V99" s="51" t="inlineStr">
        <is>
          <t>PAKET</t>
        </is>
      </c>
      <c r="W99" s="55" t="n"/>
      <c r="X99" s="1" t="n"/>
    </row>
    <row r="100" ht="24.9" customHeight="1" thickBot="1">
      <c r="B100" s="8" t="n"/>
      <c r="C100" s="3" t="inlineStr">
        <is>
          <t>83</t>
        </is>
      </c>
      <c r="D100" s="4" t="n">
        <v>46109</v>
      </c>
      <c r="E100" s="5" t="inlineStr">
        <is>
          <t>C5</t>
        </is>
      </c>
      <c r="F100" s="3" t="inlineStr">
        <is>
          <t>10.20</t>
        </is>
      </c>
      <c r="G100" s="6" t="n"/>
      <c r="H100" s="12" t="n"/>
      <c r="I100" s="13" t="n"/>
      <c r="J100" s="13" t="n">
        <v>1</v>
      </c>
      <c r="K100" s="14" t="n"/>
      <c r="L100" s="18" t="n"/>
      <c r="M100" s="19" t="n"/>
      <c r="N100" s="32" t="n"/>
      <c r="O100" s="20" t="n"/>
      <c r="P100" s="25" t="n"/>
      <c r="Q100" s="35" t="n"/>
      <c r="R100" s="26" t="n"/>
      <c r="S100" s="51" t="n"/>
      <c r="T100" s="168" t="n"/>
      <c r="U100" s="169" t="n"/>
      <c r="V100" s="51" t="n"/>
      <c r="W100" s="55" t="n"/>
      <c r="X100" s="1" t="n"/>
    </row>
    <row r="101" ht="24.9" customHeight="1" thickBot="1">
      <c r="C101" s="3" t="inlineStr">
        <is>
          <t>84</t>
        </is>
      </c>
      <c r="D101" s="4" t="n">
        <v>46110</v>
      </c>
      <c r="E101" s="5" t="inlineStr">
        <is>
          <t>C5</t>
        </is>
      </c>
      <c r="F101" s="3" t="inlineStr">
        <is>
          <t>10.20</t>
        </is>
      </c>
      <c r="G101" s="6" t="n"/>
      <c r="H101" s="12" t="n"/>
      <c r="I101" s="13" t="n"/>
      <c r="J101" s="13" t="n">
        <v>1</v>
      </c>
      <c r="K101" s="14" t="n"/>
      <c r="L101" s="18" t="n"/>
      <c r="M101" s="19" t="n"/>
      <c r="N101" s="32" t="n"/>
      <c r="O101" s="20" t="n"/>
      <c r="P101" s="25" t="n"/>
      <c r="Q101" s="35" t="n"/>
      <c r="R101" s="26" t="n"/>
      <c r="S101" s="51" t="n"/>
      <c r="T101" s="168" t="n"/>
      <c r="U101" s="169" t="n"/>
      <c r="V101" s="51" t="n"/>
      <c r="W101" s="55" t="n"/>
      <c r="X101" s="1" t="n"/>
    </row>
    <row r="102" ht="24.9" customHeight="1" thickBot="1">
      <c r="C102" s="3" t="inlineStr">
        <is>
          <t>85</t>
        </is>
      </c>
      <c r="D102" s="4" t="n">
        <v>46110</v>
      </c>
      <c r="E102" s="5" t="inlineStr">
        <is>
          <t>C5</t>
        </is>
      </c>
      <c r="F102" s="3" t="inlineStr">
        <is>
          <t>20.20</t>
        </is>
      </c>
      <c r="G102" s="6" t="n"/>
      <c r="H102" s="12" t="n">
        <v>2</v>
      </c>
      <c r="I102" s="13" t="n"/>
      <c r="J102" s="13" t="n"/>
      <c r="K102" s="14" t="n"/>
      <c r="L102" s="18" t="n">
        <v>2</v>
      </c>
      <c r="M102" s="19" t="n"/>
      <c r="N102" s="32" t="n"/>
      <c r="O102" s="20" t="n"/>
      <c r="P102" s="46" t="n"/>
      <c r="Q102" s="47" t="n"/>
      <c r="R102" s="26" t="n"/>
      <c r="S102" s="51" t="n"/>
      <c r="T102" s="168" t="n"/>
      <c r="U102" s="169" t="n"/>
      <c r="V102" s="51" t="n"/>
      <c r="W102" s="55" t="n"/>
      <c r="X102" s="1" t="n"/>
    </row>
    <row r="103" ht="24.9" customHeight="1" thickBot="1">
      <c r="C103" s="3" t="inlineStr">
        <is>
          <t>86</t>
        </is>
      </c>
      <c r="D103" s="4" t="n">
        <v>46110</v>
      </c>
      <c r="E103" s="5" t="inlineStr">
        <is>
          <t>C5</t>
        </is>
      </c>
      <c r="F103" s="3" t="inlineStr">
        <is>
          <t>15.20</t>
        </is>
      </c>
      <c r="G103" s="6" t="n"/>
      <c r="H103" s="12" t="n">
        <v>2</v>
      </c>
      <c r="I103" s="13" t="n"/>
      <c r="J103" s="13" t="n"/>
      <c r="K103" s="14" t="n"/>
      <c r="L103" s="18" t="n"/>
      <c r="M103" s="19" t="n"/>
      <c r="N103" s="32" t="n"/>
      <c r="O103" s="20" t="n"/>
      <c r="P103" s="46" t="n"/>
      <c r="Q103" s="47" t="n"/>
      <c r="R103" s="26" t="n"/>
      <c r="S103" s="51" t="n"/>
      <c r="T103" s="168" t="n"/>
      <c r="U103" s="169" t="n"/>
      <c r="V103" s="51" t="n"/>
      <c r="W103" s="55" t="n"/>
      <c r="X103" s="1" t="n"/>
    </row>
    <row r="104" ht="24.9" customHeight="1" thickBot="1">
      <c r="C104" s="3" t="inlineStr">
        <is>
          <t>87</t>
        </is>
      </c>
      <c r="D104" s="4" t="n">
        <v>46111</v>
      </c>
      <c r="E104" s="5" t="inlineStr">
        <is>
          <t>C5</t>
        </is>
      </c>
      <c r="F104" s="3" t="inlineStr">
        <is>
          <t>15.20</t>
        </is>
      </c>
      <c r="G104" s="6" t="n"/>
      <c r="H104" s="12" t="n">
        <v>1</v>
      </c>
      <c r="I104" s="13" t="n"/>
      <c r="J104" s="13" t="n"/>
      <c r="K104" s="14" t="n"/>
      <c r="L104" s="18" t="n"/>
      <c r="M104" s="19" t="n"/>
      <c r="N104" s="32" t="n"/>
      <c r="O104" s="20" t="n"/>
      <c r="P104" s="25" t="n"/>
      <c r="Q104" s="35" t="n"/>
      <c r="R104" s="26" t="n"/>
      <c r="S104" s="51" t="n"/>
      <c r="T104" s="168" t="n"/>
      <c r="U104" s="169" t="n"/>
      <c r="V104" s="51" t="n"/>
      <c r="W104" s="55" t="n"/>
      <c r="X104" s="1" t="n"/>
    </row>
    <row r="105" ht="24.9" customHeight="1" thickBot="1">
      <c r="C105" s="3" t="inlineStr">
        <is>
          <t>88</t>
        </is>
      </c>
      <c r="D105" s="4" t="n">
        <v>46111</v>
      </c>
      <c r="E105" s="5" t="inlineStr">
        <is>
          <t>C5</t>
        </is>
      </c>
      <c r="F105" s="3" t="inlineStr">
        <is>
          <t>15.20</t>
        </is>
      </c>
      <c r="G105" s="6" t="n"/>
      <c r="H105" s="12" t="n"/>
      <c r="I105" s="13" t="n"/>
      <c r="J105" s="13" t="n">
        <v>1</v>
      </c>
      <c r="K105" s="14" t="n"/>
      <c r="L105" s="18" t="n"/>
      <c r="M105" s="19" t="n"/>
      <c r="N105" s="32" t="n"/>
      <c r="O105" s="20" t="n"/>
      <c r="P105" s="25" t="n"/>
      <c r="Q105" s="35" t="n"/>
      <c r="R105" s="26" t="n"/>
      <c r="S105" s="51" t="n"/>
      <c r="T105" s="168" t="n"/>
      <c r="U105" s="169" t="n"/>
      <c r="V105" s="51" t="n"/>
      <c r="W105" s="55" t="n"/>
      <c r="X105" s="1" t="n"/>
    </row>
    <row r="106" ht="24.9" customHeight="1" thickBot="1">
      <c r="C106" s="3" t="inlineStr">
        <is>
          <t>89</t>
        </is>
      </c>
      <c r="D106" s="4" t="n">
        <v>46111</v>
      </c>
      <c r="E106" s="5" t="inlineStr">
        <is>
          <t>C5</t>
        </is>
      </c>
      <c r="F106" s="3" t="inlineStr">
        <is>
          <t>15.20</t>
        </is>
      </c>
      <c r="G106" s="6" t="n"/>
      <c r="H106" s="12" t="n">
        <v>1</v>
      </c>
      <c r="I106" s="13" t="n"/>
      <c r="J106" s="13" t="n"/>
      <c r="K106" s="14" t="n"/>
      <c r="L106" s="18" t="n"/>
      <c r="M106" s="19" t="n"/>
      <c r="N106" s="32" t="n"/>
      <c r="O106" s="20" t="n"/>
      <c r="P106" s="46" t="n"/>
      <c r="Q106" s="47" t="n"/>
      <c r="R106" s="26" t="n"/>
      <c r="S106" s="51" t="n"/>
      <c r="T106" s="168" t="n"/>
      <c r="U106" s="169" t="n"/>
      <c r="V106" s="51" t="n"/>
      <c r="W106" s="55" t="n"/>
      <c r="X106" s="1" t="n"/>
    </row>
    <row r="107" ht="24.9" customHeight="1" thickBot="1">
      <c r="C107" s="3" t="inlineStr">
        <is>
          <t>90</t>
        </is>
      </c>
      <c r="D107" s="4" t="n">
        <v>46112</v>
      </c>
      <c r="E107" s="5" t="inlineStr">
        <is>
          <t>C5</t>
        </is>
      </c>
      <c r="F107" s="3" t="inlineStr">
        <is>
          <t>15.20</t>
        </is>
      </c>
      <c r="G107" s="6" t="n"/>
      <c r="H107" s="12" t="n">
        <v>1</v>
      </c>
      <c r="I107" s="13" t="n"/>
      <c r="J107" s="13" t="n"/>
      <c r="K107" s="14" t="n"/>
      <c r="L107" s="18" t="n"/>
      <c r="M107" s="19" t="n"/>
      <c r="N107" s="32" t="n"/>
      <c r="O107" s="20" t="n"/>
      <c r="P107" s="46" t="n"/>
      <c r="Q107" s="47" t="n"/>
      <c r="R107" s="26" t="n"/>
      <c r="S107" s="51" t="n"/>
      <c r="T107" s="168" t="n"/>
      <c r="U107" s="169" t="n"/>
      <c r="V107" s="51" t="n"/>
      <c r="W107" s="55" t="n"/>
      <c r="X107" s="1" t="n"/>
    </row>
    <row r="108" ht="24.9" customHeight="1" thickBot="1">
      <c r="C108" s="3" t="inlineStr">
        <is>
          <t>91</t>
        </is>
      </c>
      <c r="D108" s="4" t="n">
        <v>46112</v>
      </c>
      <c r="E108" s="5" t="inlineStr">
        <is>
          <t>C5</t>
        </is>
      </c>
      <c r="F108" s="3" t="inlineStr">
        <is>
          <t>15.20</t>
        </is>
      </c>
      <c r="G108" s="6" t="n"/>
      <c r="H108" s="12" t="n">
        <v>7</v>
      </c>
      <c r="I108" s="13" t="n"/>
      <c r="J108" s="13" t="n"/>
      <c r="K108" s="14" t="n"/>
      <c r="L108" s="18" t="n"/>
      <c r="M108" s="19" t="n"/>
      <c r="N108" s="32" t="n"/>
      <c r="O108" s="20" t="n"/>
      <c r="P108" s="25" t="n"/>
      <c r="Q108" s="35" t="n"/>
      <c r="R108" s="26" t="n"/>
      <c r="S108" s="51" t="n"/>
      <c r="T108" s="168" t="n"/>
      <c r="U108" s="169" t="n"/>
      <c r="V108" s="51" t="n"/>
      <c r="W108" s="55" t="n"/>
      <c r="X108" s="1" t="n"/>
    </row>
    <row r="109" ht="24.9" customHeight="1" thickBot="1">
      <c r="C109" s="3" t="inlineStr">
        <is>
          <t>92</t>
        </is>
      </c>
      <c r="D109" s="4" t="n">
        <v>46110</v>
      </c>
      <c r="E109" s="5" t="inlineStr">
        <is>
          <t>C3</t>
        </is>
      </c>
      <c r="F109" s="3" t="inlineStr">
        <is>
          <t>MC03</t>
        </is>
      </c>
      <c r="G109" s="6" t="n"/>
      <c r="H109" s="12" t="n">
        <v>6</v>
      </c>
      <c r="I109" s="13" t="n"/>
      <c r="J109" s="13" t="n"/>
      <c r="K109" s="14" t="n"/>
      <c r="L109" s="18" t="n">
        <v>6</v>
      </c>
      <c r="M109" s="19" t="n"/>
      <c r="N109" s="32" t="n"/>
      <c r="O109" s="20" t="n"/>
      <c r="P109" s="25" t="n"/>
      <c r="Q109" s="35" t="n"/>
      <c r="R109" s="26" t="n"/>
      <c r="S109" s="51" t="n"/>
      <c r="T109" s="168" t="n"/>
      <c r="U109" s="169" t="n"/>
      <c r="V109" s="51" t="n"/>
      <c r="W109" s="55" t="n"/>
      <c r="X109" s="1" t="n"/>
    </row>
    <row r="110" ht="24.9" customHeight="1" thickBot="1">
      <c r="C110" s="3" t="inlineStr">
        <is>
          <t>93</t>
        </is>
      </c>
      <c r="D110" s="4" t="n">
        <v>46113</v>
      </c>
      <c r="E110" s="5" t="inlineStr">
        <is>
          <t>C5</t>
        </is>
      </c>
      <c r="F110" s="3" t="inlineStr">
        <is>
          <t>15.20</t>
        </is>
      </c>
      <c r="G110" s="6" t="n"/>
      <c r="H110" s="12" t="n"/>
      <c r="I110" s="13" t="n"/>
      <c r="J110" s="13" t="n">
        <v>1</v>
      </c>
      <c r="K110" s="14" t="n"/>
      <c r="L110" s="18" t="n"/>
      <c r="M110" s="19" t="n"/>
      <c r="N110" s="32" t="n"/>
      <c r="O110" s="20" t="n"/>
      <c r="P110" s="46" t="n"/>
      <c r="Q110" s="47" t="n"/>
      <c r="R110" s="26" t="n"/>
      <c r="S110" s="51" t="n"/>
      <c r="T110" s="168" t="n"/>
      <c r="U110" s="169" t="n"/>
      <c r="V110" s="51" t="n"/>
      <c r="W110" s="55" t="n"/>
      <c r="X110" s="1" t="n"/>
    </row>
    <row r="111" ht="24.9" customHeight="1" thickBot="1">
      <c r="C111" s="3" t="inlineStr">
        <is>
          <t>94</t>
        </is>
      </c>
      <c r="D111" s="4" t="n">
        <v>46125</v>
      </c>
      <c r="E111" s="5" t="inlineStr">
        <is>
          <t>C3</t>
        </is>
      </c>
      <c r="F111" s="3" t="inlineStr">
        <is>
          <t>0.20</t>
        </is>
      </c>
      <c r="G111" s="6" t="n"/>
      <c r="H111" s="12" t="n">
        <v>1</v>
      </c>
      <c r="I111" s="13" t="n"/>
      <c r="J111" s="13" t="n">
        <v>2</v>
      </c>
      <c r="K111" s="14" t="n"/>
      <c r="L111" s="18" t="n">
        <v>1</v>
      </c>
      <c r="M111" s="19" t="n"/>
      <c r="N111" s="32" t="n">
        <v>2</v>
      </c>
      <c r="O111" s="20" t="n"/>
      <c r="P111" s="46" t="n"/>
      <c r="Q111" s="47" t="n"/>
      <c r="R111" s="26" t="n"/>
      <c r="S111" s="51" t="n"/>
      <c r="T111" s="168" t="n"/>
      <c r="U111" s="169" t="n"/>
      <c r="V111" s="51" t="n"/>
      <c r="W111" s="55" t="n"/>
      <c r="X111" s="1" t="n"/>
    </row>
    <row r="112" ht="24.9" customHeight="1" thickBot="1">
      <c r="C112" s="3" t="inlineStr">
        <is>
          <t>95</t>
        </is>
      </c>
      <c r="D112" s="4" t="n">
        <v>46126</v>
      </c>
      <c r="E112" s="5" t="inlineStr">
        <is>
          <t>C3</t>
        </is>
      </c>
      <c r="F112" s="3" t="inlineStr">
        <is>
          <t>0.20</t>
        </is>
      </c>
      <c r="G112" s="6" t="n"/>
      <c r="H112" s="12" t="n">
        <v>2</v>
      </c>
      <c r="I112" s="13" t="n"/>
      <c r="J112" s="13" t="n">
        <v>1</v>
      </c>
      <c r="K112" s="14" t="n"/>
      <c r="L112" s="18" t="n">
        <v>2</v>
      </c>
      <c r="M112" s="19" t="n"/>
      <c r="N112" s="32" t="n">
        <v>1</v>
      </c>
      <c r="O112" s="20" t="n"/>
      <c r="P112" s="25" t="n"/>
      <c r="Q112" s="35" t="n"/>
      <c r="R112" s="26" t="n"/>
      <c r="S112" s="51" t="n"/>
      <c r="T112" s="168" t="n"/>
      <c r="U112" s="169" t="n"/>
      <c r="V112" s="51" t="n"/>
      <c r="W112" s="55" t="n"/>
      <c r="X112" s="1" t="n"/>
    </row>
    <row r="113" ht="24.9" customHeight="1" thickBot="1">
      <c r="C113" s="3" t="inlineStr">
        <is>
          <t>96</t>
        </is>
      </c>
      <c r="D113" s="4" t="n">
        <v>46127</v>
      </c>
      <c r="E113" s="5" t="inlineStr">
        <is>
          <t>C3</t>
        </is>
      </c>
      <c r="F113" s="3" t="inlineStr">
        <is>
          <t>0.20</t>
        </is>
      </c>
      <c r="G113" s="6" t="n"/>
      <c r="H113" s="12" t="n">
        <v>2</v>
      </c>
      <c r="I113" s="13" t="n"/>
      <c r="J113" s="13" t="n">
        <v>1</v>
      </c>
      <c r="K113" s="14" t="n"/>
      <c r="L113" s="18" t="n"/>
      <c r="M113" s="19" t="n"/>
      <c r="N113" s="32" t="n"/>
      <c r="O113" s="20" t="n"/>
      <c r="P113" s="46" t="n"/>
      <c r="Q113" s="47" t="n"/>
      <c r="R113" s="26" t="n"/>
      <c r="S113" s="51" t="n"/>
      <c r="T113" s="168" t="n"/>
      <c r="U113" s="169" t="n"/>
      <c r="V113" s="51" t="n"/>
      <c r="W113" s="55" t="n"/>
      <c r="X113" s="1" t="n"/>
    </row>
    <row r="114" ht="24.9" customHeight="1" thickBot="1">
      <c r="C114" s="3" t="inlineStr">
        <is>
          <t>97</t>
        </is>
      </c>
      <c r="D114" s="4" t="n">
        <v>46128</v>
      </c>
      <c r="E114" s="5" t="inlineStr">
        <is>
          <t>C3</t>
        </is>
      </c>
      <c r="F114" s="3" t="inlineStr">
        <is>
          <t>0.20</t>
        </is>
      </c>
      <c r="G114" s="6" t="n"/>
      <c r="H114" s="12" t="n">
        <v>2</v>
      </c>
      <c r="I114" s="13" t="n"/>
      <c r="J114" s="13" t="n">
        <v>1</v>
      </c>
      <c r="K114" s="14" t="n"/>
      <c r="L114" s="18" t="n"/>
      <c r="M114" s="19" t="n"/>
      <c r="N114" s="32" t="n"/>
      <c r="O114" s="20" t="n"/>
      <c r="P114" s="46" t="inlineStr">
        <is>
          <t>FX ULTRA</t>
        </is>
      </c>
      <c r="Q114" s="47" t="n">
        <v>15</v>
      </c>
      <c r="R114" s="26" t="inlineStr">
        <is>
          <t>M2</t>
        </is>
      </c>
      <c r="S114" s="51" t="n"/>
      <c r="T114" s="168" t="n"/>
      <c r="U114" s="169" t="n"/>
      <c r="V114" s="51" t="n"/>
      <c r="W114" s="55" t="n"/>
      <c r="X114" s="1" t="n"/>
    </row>
    <row r="115" ht="24.9" customHeight="1" thickBot="1">
      <c r="C115" s="3" t="inlineStr">
        <is>
          <t>98</t>
        </is>
      </c>
      <c r="D115" s="4" t="n">
        <v>46129</v>
      </c>
      <c r="E115" s="5" t="inlineStr">
        <is>
          <t>C3</t>
        </is>
      </c>
      <c r="F115" s="3" t="inlineStr">
        <is>
          <t>0.20</t>
        </is>
      </c>
      <c r="G115" s="6" t="n"/>
      <c r="H115" s="12" t="n">
        <v>2</v>
      </c>
      <c r="I115" s="13" t="n"/>
      <c r="J115" s="13" t="n">
        <v>1</v>
      </c>
      <c r="K115" s="14" t="n"/>
      <c r="L115" s="18" t="n"/>
      <c r="M115" s="19" t="n"/>
      <c r="N115" s="32" t="n"/>
      <c r="O115" s="20" t="n"/>
      <c r="P115" s="46" t="inlineStr">
        <is>
          <t>FX ULTRA</t>
        </is>
      </c>
      <c r="Q115" s="35" t="n">
        <v>15</v>
      </c>
      <c r="R115" s="26" t="inlineStr">
        <is>
          <t>M2</t>
        </is>
      </c>
      <c r="S115" s="51" t="n"/>
      <c r="T115" s="168" t="n"/>
      <c r="U115" s="169" t="n"/>
      <c r="V115" s="51" t="n"/>
      <c r="W115" s="55" t="n"/>
      <c r="X115" s="1" t="n"/>
    </row>
    <row r="116" ht="24.9" customHeight="1" thickBot="1">
      <c r="C116" s="3" t="inlineStr">
        <is>
          <t>99</t>
        </is>
      </c>
      <c r="D116" s="4" t="n">
        <v>46130</v>
      </c>
      <c r="E116" s="5" t="inlineStr">
        <is>
          <t>C3</t>
        </is>
      </c>
      <c r="F116" s="3" t="inlineStr">
        <is>
          <t>0.20</t>
        </is>
      </c>
      <c r="G116" s="6" t="n"/>
      <c r="H116" s="12" t="n">
        <v>2</v>
      </c>
      <c r="I116" s="13" t="n"/>
      <c r="J116" s="13" t="n">
        <v>1</v>
      </c>
      <c r="K116" s="14" t="n"/>
      <c r="L116" s="18" t="n"/>
      <c r="M116" s="19" t="n"/>
      <c r="N116" s="32" t="n"/>
      <c r="O116" s="20" t="n"/>
      <c r="P116" s="46" t="inlineStr">
        <is>
          <t>FX ULTRA</t>
        </is>
      </c>
      <c r="Q116" s="47" t="n">
        <v>15</v>
      </c>
      <c r="R116" s="26" t="n"/>
      <c r="S116" s="51" t="n"/>
      <c r="T116" s="168" t="n"/>
      <c r="U116" s="169" t="n"/>
      <c r="V116" s="51" t="n"/>
      <c r="W116" s="55" t="n"/>
      <c r="X116" s="1" t="n"/>
    </row>
    <row r="117" ht="24.9" customHeight="1" thickBot="1">
      <c r="C117" s="3" t="inlineStr">
        <is>
          <t>100</t>
        </is>
      </c>
      <c r="D117" s="4" t="n">
        <v>46131</v>
      </c>
      <c r="E117" s="5" t="inlineStr">
        <is>
          <t>C3</t>
        </is>
      </c>
      <c r="F117" s="3" t="inlineStr">
        <is>
          <t>0.20</t>
        </is>
      </c>
      <c r="G117" s="6" t="n"/>
      <c r="H117" s="12" t="n">
        <v>2</v>
      </c>
      <c r="I117" s="13" t="n"/>
      <c r="J117" s="13" t="n">
        <v>1</v>
      </c>
      <c r="K117" s="14" t="n"/>
      <c r="L117" s="18" t="n"/>
      <c r="M117" s="19" t="n"/>
      <c r="N117" s="32" t="n"/>
      <c r="O117" s="20" t="n"/>
      <c r="P117" s="46" t="inlineStr">
        <is>
          <t>FX ULTRA</t>
        </is>
      </c>
      <c r="Q117" s="47" t="n">
        <v>15</v>
      </c>
      <c r="R117" s="26" t="n"/>
      <c r="S117" s="51" t="n"/>
      <c r="T117" s="168" t="n"/>
      <c r="U117" s="169" t="n"/>
      <c r="V117" s="51" t="n"/>
      <c r="W117" s="55" t="n"/>
      <c r="X117" s="1" t="n"/>
    </row>
    <row r="118" ht="24.9" customHeight="1" thickBot="1">
      <c r="C118" s="3" t="inlineStr">
        <is>
          <t>101</t>
        </is>
      </c>
      <c r="D118" s="4" t="n">
        <v>46132</v>
      </c>
      <c r="E118" s="5" t="inlineStr">
        <is>
          <t>C3</t>
        </is>
      </c>
      <c r="F118" s="3" t="inlineStr">
        <is>
          <t>0.20</t>
        </is>
      </c>
      <c r="G118" s="6" t="n"/>
      <c r="H118" s="12" t="n">
        <v>2</v>
      </c>
      <c r="I118" s="13" t="n"/>
      <c r="J118" s="13" t="n">
        <v>1</v>
      </c>
      <c r="K118" s="14" t="n"/>
      <c r="L118" s="18" t="n"/>
      <c r="M118" s="19" t="n"/>
      <c r="N118" s="32" t="n"/>
      <c r="O118" s="20" t="n"/>
      <c r="P118" s="46" t="inlineStr">
        <is>
          <t>FX ULTRA</t>
        </is>
      </c>
      <c r="Q118" s="47" t="n">
        <v>15</v>
      </c>
      <c r="R118" s="26" t="n"/>
      <c r="S118" s="51" t="n"/>
      <c r="T118" s="168" t="n"/>
      <c r="U118" s="169" t="n"/>
      <c r="V118" s="51" t="n"/>
      <c r="W118" s="55" t="n"/>
      <c r="X118" s="1" t="n"/>
    </row>
    <row r="119" ht="24.9" customHeight="1" thickBot="1">
      <c r="C119" s="3" t="inlineStr">
        <is>
          <t>102</t>
        </is>
      </c>
      <c r="D119" s="4" t="n">
        <v>46133</v>
      </c>
      <c r="E119" s="5" t="inlineStr">
        <is>
          <t>C3</t>
        </is>
      </c>
      <c r="F119" s="3" t="inlineStr">
        <is>
          <t>0.20</t>
        </is>
      </c>
      <c r="G119" s="6" t="n"/>
      <c r="H119" s="12" t="n">
        <v>2</v>
      </c>
      <c r="I119" s="13" t="n"/>
      <c r="J119" s="13" t="n">
        <v>1</v>
      </c>
      <c r="K119" s="14" t="n"/>
      <c r="L119" s="18" t="n"/>
      <c r="M119" s="19" t="n"/>
      <c r="N119" s="32" t="n"/>
      <c r="O119" s="20" t="n"/>
      <c r="P119" s="46" t="inlineStr">
        <is>
          <t>FX ULTRA</t>
        </is>
      </c>
      <c r="Q119" s="47" t="n">
        <v>15</v>
      </c>
      <c r="R119" s="26" t="n"/>
      <c r="S119" s="51" t="n"/>
      <c r="T119" s="168" t="n"/>
      <c r="U119" s="169" t="n"/>
      <c r="V119" s="51" t="n"/>
      <c r="W119" s="55" t="n"/>
      <c r="X119" s="1" t="n"/>
    </row>
    <row r="120" ht="24.9" customHeight="1" thickBot="1">
      <c r="C120" s="3" t="inlineStr">
        <is>
          <t>103</t>
        </is>
      </c>
      <c r="D120" s="4" t="n">
        <v>46134</v>
      </c>
      <c r="E120" s="5" t="inlineStr">
        <is>
          <t>C3</t>
        </is>
      </c>
      <c r="F120" s="3" t="inlineStr">
        <is>
          <t>0.20</t>
        </is>
      </c>
      <c r="G120" s="6" t="n"/>
      <c r="H120" s="12" t="n">
        <v>2</v>
      </c>
      <c r="I120" s="13" t="n"/>
      <c r="J120" s="13" t="n">
        <v>1</v>
      </c>
      <c r="K120" s="14" t="n"/>
      <c r="L120" s="18" t="n"/>
      <c r="M120" s="19" t="n"/>
      <c r="N120" s="32" t="n"/>
      <c r="O120" s="20" t="n"/>
      <c r="P120" s="46" t="inlineStr">
        <is>
          <t>FX ULTRA</t>
        </is>
      </c>
      <c r="Q120" s="47" t="n">
        <v>15</v>
      </c>
      <c r="R120" s="26" t="n"/>
      <c r="S120" s="51" t="n"/>
      <c r="T120" s="168" t="n"/>
      <c r="U120" s="169" t="n"/>
      <c r="V120" s="51" t="n"/>
      <c r="W120" s="55" t="n"/>
      <c r="X120" s="1" t="n"/>
    </row>
    <row r="121" ht="24.9" customHeight="1" thickBot="1">
      <c r="C121" s="3" t="inlineStr">
        <is>
          <t>104</t>
        </is>
      </c>
      <c r="D121" s="4" t="n">
        <v>46135</v>
      </c>
      <c r="E121" s="5" t="inlineStr">
        <is>
          <t>C3</t>
        </is>
      </c>
      <c r="F121" s="3" t="inlineStr">
        <is>
          <t>0.20</t>
        </is>
      </c>
      <c r="G121" s="6" t="n"/>
      <c r="H121" s="12" t="n">
        <v>2</v>
      </c>
      <c r="I121" s="13" t="n"/>
      <c r="J121" s="13" t="n">
        <v>1</v>
      </c>
      <c r="K121" s="14" t="n"/>
      <c r="L121" s="18" t="n"/>
      <c r="M121" s="19" t="n"/>
      <c r="N121" s="32" t="n"/>
      <c r="O121" s="20" t="n"/>
      <c r="P121" s="46" t="inlineStr">
        <is>
          <t>FX ULTRA</t>
        </is>
      </c>
      <c r="Q121" s="47" t="n">
        <v>15</v>
      </c>
      <c r="R121" s="26" t="n"/>
      <c r="S121" s="51" t="n"/>
      <c r="T121" s="168" t="n"/>
      <c r="U121" s="169" t="n"/>
      <c r="V121" s="51" t="n"/>
      <c r="W121" s="55" t="n"/>
      <c r="X121" s="1" t="n"/>
    </row>
    <row r="122" ht="24.9" customHeight="1" thickBot="1">
      <c r="C122" s="3" t="inlineStr">
        <is>
          <t>105</t>
        </is>
      </c>
      <c r="D122" s="4" t="n">
        <v>46136</v>
      </c>
      <c r="E122" s="5" t="inlineStr">
        <is>
          <t>C3</t>
        </is>
      </c>
      <c r="F122" s="3" t="inlineStr">
        <is>
          <t>0.20</t>
        </is>
      </c>
      <c r="G122" s="6" t="n"/>
      <c r="H122" s="12" t="n">
        <v>2</v>
      </c>
      <c r="I122" s="13" t="n"/>
      <c r="J122" s="13" t="n">
        <v>1</v>
      </c>
      <c r="K122" s="14" t="n"/>
      <c r="L122" s="18" t="n"/>
      <c r="M122" s="19" t="n"/>
      <c r="N122" s="32" t="n"/>
      <c r="O122" s="20" t="n"/>
      <c r="P122" s="46" t="inlineStr">
        <is>
          <t>FX ULTRA</t>
        </is>
      </c>
      <c r="Q122" s="47" t="n">
        <v>30</v>
      </c>
      <c r="R122" s="26" t="n"/>
      <c r="S122" s="51" t="n"/>
      <c r="T122" s="168" t="n"/>
      <c r="U122" s="169" t="n"/>
      <c r="V122" s="51" t="n"/>
      <c r="W122" s="55" t="n"/>
      <c r="X122" s="1" t="n"/>
    </row>
    <row r="123" ht="24.9" customHeight="1" thickBot="1">
      <c r="C123" s="3" t="inlineStr">
        <is>
          <t>106</t>
        </is>
      </c>
      <c r="D123" s="4" t="n">
        <v>46137</v>
      </c>
      <c r="E123" s="5" t="inlineStr">
        <is>
          <t>C3</t>
        </is>
      </c>
      <c r="F123" s="3" t="inlineStr">
        <is>
          <t>0.20</t>
        </is>
      </c>
      <c r="G123" s="6" t="n"/>
      <c r="H123" s="12" t="n">
        <v>2</v>
      </c>
      <c r="I123" s="13" t="n"/>
      <c r="J123" s="13" t="n">
        <v>1</v>
      </c>
      <c r="K123" s="14" t="n"/>
      <c r="L123" s="18" t="n"/>
      <c r="M123" s="19" t="n"/>
      <c r="N123" s="32" t="n"/>
      <c r="O123" s="20" t="n"/>
      <c r="P123" s="46" t="inlineStr">
        <is>
          <t>FX ULTRA</t>
        </is>
      </c>
      <c r="Q123" s="47" t="n">
        <v>25</v>
      </c>
      <c r="R123" s="26" t="n"/>
      <c r="S123" s="51" t="n"/>
      <c r="T123" s="168" t="n"/>
      <c r="U123" s="169" t="n"/>
      <c r="V123" s="51" t="n"/>
      <c r="W123" s="55" t="n"/>
      <c r="X123" s="1" t="n"/>
    </row>
    <row r="124" ht="28.8" customHeight="1" thickBot="1">
      <c r="C124" s="3" t="inlineStr">
        <is>
          <t>107</t>
        </is>
      </c>
      <c r="D124" s="4" t="n">
        <v>46181</v>
      </c>
      <c r="E124" s="5" t="inlineStr">
        <is>
          <t>C BLOK</t>
        </is>
      </c>
      <c r="F124" s="3" t="n"/>
      <c r="G124" s="6" t="n"/>
      <c r="H124" s="12" t="n"/>
      <c r="I124" s="13" t="n"/>
      <c r="J124" s="13" t="n"/>
      <c r="K124" s="14" t="n"/>
      <c r="L124" s="18" t="n"/>
      <c r="M124" s="19" t="n"/>
      <c r="N124" s="32" t="n"/>
      <c r="O124" s="20" t="n"/>
      <c r="P124" s="46" t="n"/>
      <c r="Q124" s="47" t="n"/>
      <c r="R124" s="26" t="n"/>
      <c r="S124" s="51" t="n"/>
      <c r="T124" s="168" t="n"/>
      <c r="U124" s="169" t="n"/>
      <c r="V124" s="51" t="n"/>
      <c r="W124" s="55" t="n"/>
      <c r="X124" s="1" t="n"/>
    </row>
    <row r="125" ht="28.8" customHeight="1" thickBot="1">
      <c r="C125" s="3" t="inlineStr">
        <is>
          <t>108</t>
        </is>
      </c>
      <c r="D125" s="4" t="n">
        <v>46181</v>
      </c>
      <c r="E125" s="5" t="inlineStr">
        <is>
          <t>C BLOK</t>
        </is>
      </c>
      <c r="F125" s="3" t="n"/>
      <c r="G125" s="6" t="n"/>
      <c r="H125" s="12" t="n"/>
      <c r="I125" s="13" t="n"/>
      <c r="J125" s="13" t="n"/>
      <c r="K125" s="14" t="n"/>
      <c r="L125" s="18" t="n"/>
      <c r="M125" s="19" t="n"/>
      <c r="N125" s="32" t="n"/>
      <c r="O125" s="20" t="n"/>
      <c r="P125" s="46" t="n"/>
      <c r="Q125" s="47" t="n"/>
      <c r="R125" s="26" t="n"/>
      <c r="S125" s="51" t="n"/>
      <c r="T125" s="168" t="n"/>
      <c r="U125" s="169" t="n"/>
      <c r="V125" s="51" t="n"/>
      <c r="W125" s="55" t="n"/>
      <c r="X125" s="1" t="n"/>
    </row>
    <row r="126" ht="28.8" customHeight="1" thickBot="1">
      <c r="C126" s="3" t="inlineStr">
        <is>
          <t>109</t>
        </is>
      </c>
      <c r="D126" s="4" t="n">
        <v>46181</v>
      </c>
      <c r="E126" s="5" t="inlineStr">
        <is>
          <t>C BLOK</t>
        </is>
      </c>
      <c r="F126" s="3" t="n"/>
      <c r="G126" s="6" t="n"/>
      <c r="H126" s="12" t="n"/>
      <c r="I126" s="13" t="n"/>
      <c r="J126" s="13" t="n"/>
      <c r="K126" s="14" t="n"/>
      <c r="L126" s="18" t="n"/>
      <c r="M126" s="19" t="n"/>
      <c r="N126" s="32" t="n"/>
      <c r="O126" s="20" t="n"/>
      <c r="P126" s="46" t="n"/>
      <c r="Q126" s="47" t="n"/>
      <c r="R126" s="26" t="n"/>
      <c r="S126" s="51" t="n"/>
      <c r="T126" s="168" t="n"/>
      <c r="U126" s="169" t="n"/>
      <c r="V126" s="51" t="n"/>
      <c r="W126" s="55" t="n"/>
      <c r="X126" s="1" t="n"/>
    </row>
    <row r="127" ht="28.8" customHeight="1" thickBot="1">
      <c r="C127" s="3" t="inlineStr">
        <is>
          <t>110</t>
        </is>
      </c>
      <c r="D127" s="4" t="n">
        <v>46116</v>
      </c>
      <c r="E127" s="5" t="inlineStr">
        <is>
          <t>C3</t>
        </is>
      </c>
      <c r="F127" s="3" t="inlineStr">
        <is>
          <t>MC03 MERDİVENİ</t>
        </is>
      </c>
      <c r="G127" s="6" t="n"/>
      <c r="H127" s="12" t="n">
        <v>5</v>
      </c>
      <c r="I127" s="13" t="n"/>
      <c r="J127" s="13" t="n"/>
      <c r="K127" s="14" t="n"/>
      <c r="L127" s="18" t="n"/>
      <c r="M127" s="19" t="n"/>
      <c r="N127" s="32" t="n"/>
      <c r="O127" s="20" t="n"/>
      <c r="P127" s="46" t="n"/>
      <c r="Q127" s="47" t="n"/>
      <c r="R127" s="26" t="n"/>
      <c r="S127" s="51" t="n"/>
      <c r="T127" s="168" t="n"/>
      <c r="U127" s="169" t="n"/>
      <c r="V127" s="51" t="n"/>
      <c r="W127" s="55" t="n"/>
      <c r="X127" s="1" t="n"/>
    </row>
    <row r="128" ht="28.8" customHeight="1" thickBot="1">
      <c r="C128" s="3" t="inlineStr">
        <is>
          <t>111</t>
        </is>
      </c>
      <c r="D128" s="4" t="n">
        <v>46121</v>
      </c>
      <c r="E128" s="5" t="inlineStr">
        <is>
          <t>C4</t>
        </is>
      </c>
      <c r="F128" s="3" t="inlineStr">
        <is>
          <t>10.20</t>
        </is>
      </c>
      <c r="G128" s="6" t="n"/>
      <c r="H128" s="12" t="n">
        <v>1</v>
      </c>
      <c r="I128" s="13" t="n"/>
      <c r="J128" s="13" t="n"/>
      <c r="K128" s="14" t="n"/>
      <c r="L128" s="18" t="n"/>
      <c r="M128" s="19" t="n"/>
      <c r="N128" s="32" t="n"/>
      <c r="O128" s="20" t="n"/>
      <c r="P128" s="46" t="n"/>
      <c r="Q128" s="47" t="n"/>
      <c r="R128" s="26" t="n"/>
      <c r="S128" s="51" t="n"/>
      <c r="T128" s="168" t="n"/>
      <c r="U128" s="169" t="n"/>
      <c r="V128" s="51" t="n"/>
      <c r="W128" s="55" t="n"/>
      <c r="X128" s="1" t="n"/>
    </row>
    <row r="129" ht="28.8" customHeight="1">
      <c r="C129" s="3" t="inlineStr">
        <is>
          <t>112</t>
        </is>
      </c>
      <c r="D129" s="4" t="n">
        <v>46121</v>
      </c>
      <c r="E129" s="5" t="inlineStr">
        <is>
          <t>C5</t>
        </is>
      </c>
      <c r="F129" s="3" t="inlineStr">
        <is>
          <t>25.20</t>
        </is>
      </c>
      <c r="G129" s="6" t="n"/>
      <c r="H129" s="12" t="n">
        <v>3</v>
      </c>
      <c r="I129" s="13" t="n"/>
      <c r="J129" s="13" t="n"/>
      <c r="K129" s="14" t="n"/>
      <c r="L129" s="18" t="n"/>
      <c r="M129" s="19" t="n"/>
      <c r="N129" s="32" t="n"/>
      <c r="O129" s="20" t="n"/>
      <c r="P129" s="46" t="n"/>
      <c r="Q129" s="47" t="n"/>
      <c r="R129" s="26" t="n"/>
      <c r="S129" s="51" t="n"/>
      <c r="T129" s="168" t="n"/>
      <c r="U129" s="169" t="n"/>
      <c r="V129" s="51" t="n"/>
      <c r="W129" s="55" t="n"/>
      <c r="X129" s="1" t="n"/>
    </row>
    <row r="130" ht="28.8" customHeight="1">
      <c r="C130" s="3" t="inlineStr">
        <is>
          <t>113</t>
        </is>
      </c>
      <c r="D130" s="4" t="n">
        <v>46123</v>
      </c>
      <c r="E130" s="5" t="inlineStr">
        <is>
          <t>C4</t>
        </is>
      </c>
      <c r="F130" s="3" t="inlineStr">
        <is>
          <t>15.20</t>
        </is>
      </c>
      <c r="G130" s="6" t="n"/>
      <c r="H130" s="12" t="n">
        <v>1</v>
      </c>
      <c r="I130" s="13" t="n"/>
      <c r="J130" s="13" t="n"/>
      <c r="K130" s="14" t="n"/>
      <c r="L130" s="18" t="n"/>
      <c r="M130" s="19" t="n"/>
      <c r="N130" s="32" t="n"/>
      <c r="O130" s="20" t="n"/>
      <c r="P130" s="46" t="n"/>
      <c r="Q130" s="47" t="n"/>
      <c r="R130" s="26" t="n"/>
      <c r="S130" s="51" t="n"/>
      <c r="T130" s="168" t="n"/>
      <c r="U130" s="169" t="n"/>
      <c r="V130" s="51" t="n"/>
      <c r="W130" s="55" t="n"/>
      <c r="X130" s="1" t="n"/>
    </row>
    <row r="131" ht="28.8" customHeight="1">
      <c r="C131" s="3" t="inlineStr">
        <is>
          <t>114</t>
        </is>
      </c>
      <c r="D131" s="4" t="n">
        <v>46125</v>
      </c>
      <c r="E131" s="5" t="inlineStr">
        <is>
          <t>C3</t>
        </is>
      </c>
      <c r="F131" s="3" t="inlineStr">
        <is>
          <t>25.20</t>
        </is>
      </c>
      <c r="G131" s="6" t="n"/>
      <c r="H131" s="12" t="n">
        <v>1</v>
      </c>
      <c r="I131" s="13" t="n"/>
      <c r="J131" s="13" t="n"/>
      <c r="K131" s="14" t="n"/>
      <c r="L131" s="18" t="n"/>
      <c r="M131" s="19" t="n"/>
      <c r="N131" s="32" t="n"/>
      <c r="O131" s="20" t="n"/>
      <c r="P131" s="46" t="n"/>
      <c r="Q131" s="47" t="n"/>
      <c r="R131" s="26" t="n"/>
      <c r="S131" s="51" t="n"/>
      <c r="T131" s="168" t="n"/>
      <c r="U131" s="169" t="n"/>
      <c r="V131" s="51" t="n"/>
      <c r="W131" s="55" t="n"/>
      <c r="X131" s="1" t="n"/>
    </row>
    <row r="132" ht="28.8" customHeight="1">
      <c r="C132" s="3" t="inlineStr">
        <is>
          <t>115</t>
        </is>
      </c>
      <c r="D132" s="4" t="n">
        <v>46126</v>
      </c>
      <c r="E132" s="5" t="inlineStr">
        <is>
          <t>C5</t>
        </is>
      </c>
      <c r="F132" s="3" t="inlineStr">
        <is>
          <t>0.20</t>
        </is>
      </c>
      <c r="G132" s="6" t="inlineStr">
        <is>
          <t>C-Z-225 . C-Z-226</t>
        </is>
      </c>
      <c r="H132" s="12" t="n">
        <v>1</v>
      </c>
      <c r="I132" s="13" t="n"/>
      <c r="J132" s="13" t="n">
        <v>1</v>
      </c>
      <c r="K132" s="14" t="n"/>
      <c r="L132" s="18" t="n"/>
      <c r="M132" s="19" t="n"/>
      <c r="N132" s="32" t="n"/>
      <c r="O132" s="20" t="n"/>
      <c r="P132" s="46" t="n"/>
      <c r="Q132" s="47" t="n"/>
      <c r="R132" s="26" t="n"/>
      <c r="S132" s="51" t="n"/>
      <c r="T132" s="168" t="n"/>
      <c r="U132" s="169" t="n"/>
      <c r="V132" s="51" t="n"/>
      <c r="W132" s="55" t="n"/>
      <c r="X132" s="1" t="n"/>
    </row>
    <row r="133" ht="28.8" customHeight="1">
      <c r="C133" s="3" t="inlineStr">
        <is>
          <t>116</t>
        </is>
      </c>
      <c r="D133" s="4" t="n">
        <v>46133</v>
      </c>
      <c r="E133" s="5" t="inlineStr">
        <is>
          <t>C4</t>
        </is>
      </c>
      <c r="F133" s="3" t="inlineStr">
        <is>
          <t>20.20</t>
        </is>
      </c>
      <c r="G133" s="6" t="n"/>
      <c r="H133" s="12" t="n">
        <v>2</v>
      </c>
      <c r="I133" s="13" t="n"/>
      <c r="J133" s="13" t="n"/>
      <c r="K133" s="14" t="n"/>
      <c r="L133" s="18" t="n"/>
      <c r="M133" s="19" t="n"/>
      <c r="N133" s="32" t="n"/>
      <c r="O133" s="20" t="n"/>
      <c r="P133" s="46" t="n"/>
      <c r="Q133" s="47" t="n"/>
      <c r="R133" s="26" t="n"/>
      <c r="S133" s="51" t="n"/>
      <c r="T133" s="168" t="n"/>
      <c r="U133" s="169" t="n"/>
      <c r="V133" s="51" t="n"/>
      <c r="W133" s="55" t="n"/>
      <c r="X133" s="1" t="n"/>
    </row>
    <row r="134" ht="28.8" customHeight="1">
      <c r="C134" s="3" t="inlineStr">
        <is>
          <t>117</t>
        </is>
      </c>
      <c r="D134" s="4" t="n">
        <v>46134</v>
      </c>
      <c r="E134" s="5" t="inlineStr">
        <is>
          <t>C4</t>
        </is>
      </c>
      <c r="F134" s="3" t="inlineStr">
        <is>
          <t>5.20</t>
        </is>
      </c>
      <c r="G134" s="6" t="n"/>
      <c r="H134" s="12" t="n">
        <v>2</v>
      </c>
      <c r="I134" s="13" t="n"/>
      <c r="J134" s="13" t="n"/>
      <c r="K134" s="14" t="n"/>
      <c r="L134" s="18" t="n"/>
      <c r="M134" s="19" t="n"/>
      <c r="N134" s="32" t="n"/>
      <c r="O134" s="20" t="n"/>
      <c r="P134" s="46" t="n"/>
      <c r="Q134" s="47" t="n"/>
      <c r="R134" s="26" t="n"/>
      <c r="S134" s="51" t="n"/>
      <c r="T134" s="168" t="n"/>
      <c r="U134" s="169" t="n"/>
      <c r="V134" s="51" t="n"/>
      <c r="W134" s="55" t="n"/>
      <c r="X134" s="1" t="n"/>
    </row>
    <row r="135" ht="28.8" customHeight="1">
      <c r="A135" t="inlineStr">
        <is>
          <t>İPTAL</t>
        </is>
      </c>
      <c r="C135" s="3" t="inlineStr">
        <is>
          <t>118</t>
        </is>
      </c>
      <c r="D135" s="4" t="n">
        <v>46133</v>
      </c>
      <c r="E135" s="5" t="inlineStr">
        <is>
          <t>C3</t>
        </is>
      </c>
      <c r="F135" s="3" t="inlineStr">
        <is>
          <t>5.20</t>
        </is>
      </c>
      <c r="G135" s="6" t="n"/>
      <c r="H135" s="12" t="n">
        <v>2</v>
      </c>
      <c r="I135" s="13" t="n"/>
      <c r="J135" s="13" t="n">
        <v>1</v>
      </c>
      <c r="K135" s="14" t="n"/>
      <c r="L135" s="18" t="n"/>
      <c r="M135" s="19" t="n"/>
      <c r="N135" s="32" t="n"/>
      <c r="O135" s="20" t="n"/>
      <c r="P135" s="46" t="n"/>
      <c r="Q135" s="47" t="n"/>
      <c r="R135" s="26" t="n"/>
      <c r="S135" s="51" t="n"/>
      <c r="T135" s="168" t="n"/>
      <c r="U135" s="169" t="n"/>
      <c r="V135" s="51" t="n"/>
      <c r="W135" s="55" t="n"/>
      <c r="X135" s="1" t="n"/>
    </row>
    <row r="136" ht="28.8" customHeight="1">
      <c r="A136" t="inlineStr">
        <is>
          <t>İPTAL</t>
        </is>
      </c>
      <c r="C136" s="3" t="inlineStr">
        <is>
          <t>119</t>
        </is>
      </c>
      <c r="D136" s="4" t="n">
        <v>46134</v>
      </c>
      <c r="E136" s="5" t="inlineStr">
        <is>
          <t>C3</t>
        </is>
      </c>
      <c r="F136" s="3" t="inlineStr">
        <is>
          <t>10.20</t>
        </is>
      </c>
      <c r="G136" s="6" t="n"/>
      <c r="H136" s="12" t="n">
        <v>2</v>
      </c>
      <c r="I136" s="13" t="n"/>
      <c r="J136" s="13" t="n">
        <v>1</v>
      </c>
      <c r="K136" s="14" t="n"/>
      <c r="L136" s="18" t="n"/>
      <c r="M136" s="19" t="n"/>
      <c r="N136" s="32" t="n"/>
      <c r="O136" s="20" t="n"/>
      <c r="P136" s="46" t="n"/>
      <c r="Q136" s="47" t="n"/>
      <c r="R136" s="26" t="n"/>
      <c r="S136" s="51" t="n"/>
      <c r="T136" s="168" t="n"/>
      <c r="U136" s="169" t="n"/>
      <c r="V136" s="51" t="n"/>
      <c r="W136" s="55" t="n"/>
      <c r="X136" s="1" t="n"/>
    </row>
    <row r="137" ht="28.8" customHeight="1">
      <c r="A137" t="inlineStr">
        <is>
          <t>İPTAL</t>
        </is>
      </c>
      <c r="C137" s="3" t="inlineStr">
        <is>
          <t>120</t>
        </is>
      </c>
      <c r="D137" s="4" t="n">
        <v>46135</v>
      </c>
      <c r="E137" s="5" t="inlineStr">
        <is>
          <t>C3</t>
        </is>
      </c>
      <c r="F137" s="3" t="inlineStr">
        <is>
          <t>15.20</t>
        </is>
      </c>
      <c r="G137" s="6" t="n"/>
      <c r="H137" s="12" t="n">
        <v>2</v>
      </c>
      <c r="I137" s="13" t="n"/>
      <c r="J137" s="13" t="n">
        <v>1</v>
      </c>
      <c r="K137" s="14" t="n"/>
      <c r="L137" s="18" t="n"/>
      <c r="M137" s="19" t="n"/>
      <c r="N137" s="32" t="n"/>
      <c r="O137" s="20" t="n"/>
      <c r="P137" s="46" t="n"/>
      <c r="Q137" s="47" t="n"/>
      <c r="R137" s="26" t="n"/>
      <c r="S137" s="51" t="n"/>
      <c r="T137" s="168" t="n"/>
      <c r="U137" s="169" t="n"/>
      <c r="V137" s="51" t="n"/>
      <c r="W137" s="55" t="n"/>
      <c r="X137" s="1" t="n"/>
    </row>
    <row r="138" ht="28.8" customHeight="1">
      <c r="C138" s="3" t="inlineStr">
        <is>
          <t>121</t>
        </is>
      </c>
      <c r="D138" s="4" t="n">
        <v>46136</v>
      </c>
      <c r="E138" s="5" t="inlineStr">
        <is>
          <t>C3</t>
        </is>
      </c>
      <c r="F138" s="3" t="inlineStr">
        <is>
          <t>20.20</t>
        </is>
      </c>
      <c r="G138" s="6" t="n"/>
      <c r="H138" s="12" t="n">
        <v>2</v>
      </c>
      <c r="I138" s="13" t="n"/>
      <c r="J138" s="13" t="n">
        <v>1</v>
      </c>
      <c r="K138" s="14" t="n"/>
      <c r="L138" s="18" t="n"/>
      <c r="M138" s="19" t="n"/>
      <c r="N138" s="32" t="n"/>
      <c r="O138" s="20" t="n"/>
      <c r="P138" s="46" t="n"/>
      <c r="Q138" s="47" t="n"/>
      <c r="R138" s="26" t="n"/>
      <c r="S138" s="51" t="n"/>
      <c r="T138" s="168" t="n"/>
      <c r="U138" s="169" t="n"/>
      <c r="V138" s="51" t="n"/>
      <c r="W138" s="55" t="n"/>
      <c r="X138" s="1" t="n"/>
    </row>
    <row r="139" ht="28.8" customHeight="1">
      <c r="C139" s="3" t="inlineStr">
        <is>
          <t>122</t>
        </is>
      </c>
      <c r="D139" s="4" t="n">
        <v>46137</v>
      </c>
      <c r="E139" s="5" t="inlineStr">
        <is>
          <t>C3</t>
        </is>
      </c>
      <c r="F139" s="3" t="inlineStr">
        <is>
          <t>25.20</t>
        </is>
      </c>
      <c r="G139" s="6" t="n"/>
      <c r="H139" s="12" t="n">
        <v>2</v>
      </c>
      <c r="I139" s="13" t="n"/>
      <c r="J139" s="13" t="n">
        <v>1</v>
      </c>
      <c r="K139" s="14" t="n"/>
      <c r="L139" s="18" t="n"/>
      <c r="M139" s="19" t="n"/>
      <c r="N139" s="32" t="n"/>
      <c r="O139" s="20" t="n"/>
      <c r="P139" s="46" t="n"/>
      <c r="Q139" s="47" t="n"/>
      <c r="R139" s="26" t="n"/>
      <c r="S139" s="51" t="n"/>
      <c r="T139" s="168" t="n"/>
      <c r="U139" s="169" t="n"/>
      <c r="V139" s="51" t="n"/>
      <c r="W139" s="55" t="n"/>
      <c r="X139" s="1" t="n"/>
    </row>
    <row r="140" ht="28.8" customHeight="1">
      <c r="A140" t="inlineStr">
        <is>
          <t>İPTAL</t>
        </is>
      </c>
      <c r="C140" s="3" t="inlineStr">
        <is>
          <t>123</t>
        </is>
      </c>
      <c r="D140" s="4" t="n">
        <v>46138</v>
      </c>
      <c r="E140" s="5" t="inlineStr">
        <is>
          <t>C5</t>
        </is>
      </c>
      <c r="F140" s="3" t="inlineStr">
        <is>
          <t>5.20-10.20</t>
        </is>
      </c>
      <c r="G140" s="6" t="n"/>
      <c r="H140" s="12" t="n">
        <v>4</v>
      </c>
      <c r="I140" s="13" t="n"/>
      <c r="J140" s="13" t="n">
        <v>1</v>
      </c>
      <c r="K140" s="14" t="n"/>
      <c r="L140" s="18" t="n"/>
      <c r="M140" s="19" t="n"/>
      <c r="N140" s="32" t="n"/>
      <c r="O140" s="20" t="n"/>
      <c r="P140" s="46" t="n"/>
      <c r="Q140" s="47" t="n"/>
      <c r="R140" s="26" t="n"/>
      <c r="S140" s="51" t="n"/>
      <c r="T140" s="168" t="n"/>
      <c r="U140" s="169" t="n"/>
      <c r="V140" s="51" t="n"/>
      <c r="W140" s="55" t="n"/>
      <c r="X140" s="1" t="n"/>
    </row>
    <row r="141" ht="28.8" customHeight="1">
      <c r="A141" t="inlineStr">
        <is>
          <t>İPTAL</t>
        </is>
      </c>
      <c r="C141" s="3" t="inlineStr">
        <is>
          <t>124</t>
        </is>
      </c>
      <c r="D141" s="4" t="n">
        <v>46137</v>
      </c>
      <c r="E141" s="5" t="inlineStr">
        <is>
          <t>C5</t>
        </is>
      </c>
      <c r="F141" s="3" t="inlineStr">
        <is>
          <t>20.20</t>
        </is>
      </c>
      <c r="G141" s="6" t="inlineStr">
        <is>
          <t>C-4-319/100</t>
        </is>
      </c>
      <c r="H141" s="12" t="n">
        <v>1</v>
      </c>
      <c r="I141" s="13" t="n"/>
      <c r="J141" s="13" t="n">
        <v>1</v>
      </c>
      <c r="K141" s="14" t="n"/>
      <c r="L141" s="18" t="n"/>
      <c r="M141" s="19" t="n"/>
      <c r="N141" s="32" t="n"/>
      <c r="O141" s="20" t="n"/>
      <c r="P141" s="46" t="n"/>
      <c r="Q141" s="47" t="n"/>
      <c r="R141" s="26" t="n"/>
      <c r="S141" s="51" t="n"/>
      <c r="T141" s="168" t="n"/>
      <c r="U141" s="169" t="n"/>
      <c r="V141" s="51" t="n"/>
      <c r="W141" s="55" t="n"/>
      <c r="X141" s="1" t="n"/>
    </row>
    <row r="142" ht="28.8" customHeight="1">
      <c r="C142" s="3" t="inlineStr">
        <is>
          <t>125</t>
        </is>
      </c>
      <c r="D142" s="4" t="n">
        <v>46138</v>
      </c>
      <c r="E142" s="5" t="inlineStr">
        <is>
          <t>C5</t>
        </is>
      </c>
      <c r="F142" s="3" t="inlineStr">
        <is>
          <t>5.20</t>
        </is>
      </c>
      <c r="G142" s="6" t="n"/>
      <c r="H142" s="12" t="n">
        <v>4</v>
      </c>
      <c r="I142" s="13" t="n"/>
      <c r="J142" s="13" t="n">
        <v>4</v>
      </c>
      <c r="K142" s="14" t="n"/>
      <c r="L142" s="18" t="n"/>
      <c r="M142" s="19" t="n"/>
      <c r="N142" s="32" t="n"/>
      <c r="O142" s="20" t="n"/>
      <c r="P142" s="46" t="n"/>
      <c r="Q142" s="47" t="n"/>
      <c r="R142" s="26" t="n"/>
      <c r="S142" s="51" t="n"/>
      <c r="T142" s="168" t="n"/>
      <c r="U142" s="169" t="n"/>
      <c r="V142" s="51" t="n"/>
      <c r="W142" s="55" t="n"/>
      <c r="X142" s="1" t="n"/>
    </row>
    <row r="143" ht="28.8" customHeight="1">
      <c r="C143" s="3" t="inlineStr">
        <is>
          <t>126</t>
        </is>
      </c>
      <c r="D143" s="4" t="n">
        <v>46139</v>
      </c>
      <c r="E143" s="5" t="inlineStr">
        <is>
          <t>C5</t>
        </is>
      </c>
      <c r="F143" s="3" t="inlineStr">
        <is>
          <t>5.20</t>
        </is>
      </c>
      <c r="G143" s="6" t="n"/>
      <c r="H143" s="12" t="n">
        <v>4</v>
      </c>
      <c r="I143" s="13" t="n"/>
      <c r="J143" s="13" t="n">
        <v>4</v>
      </c>
      <c r="K143" s="14" t="n"/>
      <c r="L143" s="18" t="n"/>
      <c r="M143" s="19" t="n"/>
      <c r="N143" s="32" t="n"/>
      <c r="O143" s="20" t="n"/>
      <c r="P143" s="46" t="n"/>
      <c r="Q143" s="47" t="n"/>
      <c r="R143" s="26" t="n"/>
      <c r="S143" s="51" t="n"/>
      <c r="T143" s="168" t="n"/>
      <c r="U143" s="169" t="n"/>
      <c r="V143" s="51" t="n"/>
      <c r="W143" s="55" t="n"/>
      <c r="X143" s="1" t="n"/>
    </row>
    <row r="144" ht="28.8" customHeight="1">
      <c r="C144" s="3" t="inlineStr">
        <is>
          <t>127</t>
        </is>
      </c>
      <c r="D144" s="4" t="n">
        <v>46140</v>
      </c>
      <c r="E144" s="5" t="inlineStr">
        <is>
          <t>C5</t>
        </is>
      </c>
      <c r="F144" s="3" t="inlineStr">
        <is>
          <t>25.20</t>
        </is>
      </c>
      <c r="G144" s="6" t="n"/>
      <c r="H144" s="12" t="n">
        <v>2</v>
      </c>
      <c r="I144" s="13" t="n"/>
      <c r="J144" s="13" t="n">
        <v>2</v>
      </c>
      <c r="K144" s="14" t="n"/>
      <c r="L144" s="18" t="n"/>
      <c r="M144" s="19" t="n"/>
      <c r="N144" s="32" t="n"/>
      <c r="O144" s="20" t="n"/>
      <c r="P144" s="46" t="n"/>
      <c r="Q144" s="47" t="n"/>
      <c r="R144" s="26" t="n"/>
      <c r="S144" s="51" t="n"/>
      <c r="T144" s="168" t="n"/>
      <c r="U144" s="169" t="n"/>
      <c r="V144" s="51" t="n"/>
      <c r="W144" s="55" t="n"/>
      <c r="X144" s="1" t="n"/>
    </row>
    <row r="145" ht="28.8" customHeight="1">
      <c r="C145" s="3" t="inlineStr">
        <is>
          <t>128</t>
        </is>
      </c>
      <c r="D145" s="4" t="n">
        <v>46140</v>
      </c>
      <c r="E145" s="5" t="inlineStr">
        <is>
          <t>C5</t>
        </is>
      </c>
      <c r="F145" s="3" t="inlineStr">
        <is>
          <t>20.20</t>
        </is>
      </c>
      <c r="G145" s="6" t="n"/>
      <c r="H145" s="12" t="n">
        <v>2</v>
      </c>
      <c r="I145" s="13" t="n"/>
      <c r="J145" s="13" t="n">
        <v>2</v>
      </c>
      <c r="K145" s="14" t="n"/>
      <c r="L145" s="18" t="n"/>
      <c r="M145" s="19" t="n"/>
      <c r="N145" s="32" t="n"/>
      <c r="O145" s="20" t="n"/>
      <c r="P145" s="46" t="inlineStr">
        <is>
          <t>FX Ultra Alçıpan</t>
        </is>
      </c>
      <c r="Q145" s="47" t="n">
        <v>25</v>
      </c>
      <c r="R145" s="26" t="inlineStr">
        <is>
          <t>m²</t>
        </is>
      </c>
      <c r="S145" s="51" t="n"/>
      <c r="T145" s="168" t="n"/>
      <c r="U145" s="169" t="n"/>
      <c r="V145" s="51" t="n"/>
      <c r="W145" s="55" t="n"/>
      <c r="X145" s="1" t="n"/>
    </row>
    <row r="146" ht="28.8" customHeight="1">
      <c r="C146" s="3" t="inlineStr">
        <is>
          <t>129</t>
        </is>
      </c>
      <c r="D146" s="4" t="n">
        <v>46140</v>
      </c>
      <c r="E146" s="5" t="inlineStr">
        <is>
          <t>C3</t>
        </is>
      </c>
      <c r="F146" s="3" t="inlineStr">
        <is>
          <t>0.20-5.20-10.20-15.20-20.20-25.20</t>
        </is>
      </c>
      <c r="G146" s="6" t="n"/>
      <c r="H146" s="12" t="n"/>
      <c r="I146" s="13" t="n"/>
      <c r="J146" s="13" t="n"/>
      <c r="K146" s="14" t="n"/>
      <c r="L146" s="18" t="n"/>
      <c r="M146" s="19" t="n"/>
      <c r="N146" s="32" t="n"/>
      <c r="O146" s="20" t="n"/>
      <c r="P146" s="46" t="inlineStr">
        <is>
          <t>1.3.5 Saten Alçı Yapılması</t>
        </is>
      </c>
      <c r="Q146" s="47" t="n">
        <v>789.6</v>
      </c>
      <c r="R146" s="26" t="inlineStr">
        <is>
          <t>m²</t>
        </is>
      </c>
      <c r="S146" s="51" t="n"/>
      <c r="T146" s="168" t="n"/>
      <c r="U146" s="169" t="n"/>
      <c r="V146" s="51" t="n"/>
      <c r="W146" s="55" t="n"/>
      <c r="X146" s="1" t="n"/>
    </row>
    <row r="147" ht="28.8" customHeight="1">
      <c r="C147" s="3" t="inlineStr">
        <is>
          <t>130</t>
        </is>
      </c>
      <c r="D147" s="4" t="n">
        <v>46144</v>
      </c>
      <c r="E147" s="5" t="inlineStr">
        <is>
          <t>C3</t>
        </is>
      </c>
      <c r="F147" s="3" t="inlineStr">
        <is>
          <t>15.20</t>
        </is>
      </c>
      <c r="G147" s="6" t="n"/>
      <c r="H147" s="12" t="n">
        <v>4</v>
      </c>
      <c r="I147" s="13" t="n"/>
      <c r="J147" s="13" t="n">
        <v>4</v>
      </c>
      <c r="K147" s="14" t="n"/>
      <c r="L147" s="18" t="n"/>
      <c r="M147" s="19" t="n"/>
      <c r="N147" s="32" t="n"/>
      <c r="O147" s="20" t="n"/>
      <c r="P147" s="46" t="inlineStr">
        <is>
          <t>40*40*2 mm Kutu Profil</t>
        </is>
      </c>
      <c r="Q147" s="47" t="n">
        <v>40</v>
      </c>
      <c r="R147" s="26" t="inlineStr">
        <is>
          <t>m</t>
        </is>
      </c>
      <c r="S147" s="51" t="n"/>
      <c r="T147" s="168" t="n"/>
      <c r="U147" s="169" t="n"/>
      <c r="V147" s="51" t="n"/>
      <c r="W147" s="55" t="n"/>
      <c r="X147" s="1" t="n"/>
    </row>
    <row r="148" ht="28.8" customHeight="1">
      <c r="C148" s="3" t="inlineStr">
        <is>
          <t>131</t>
        </is>
      </c>
      <c r="D148" s="4" t="n">
        <v>46145</v>
      </c>
      <c r="E148" s="5" t="inlineStr">
        <is>
          <t>C3</t>
        </is>
      </c>
      <c r="F148" s="3" t="inlineStr">
        <is>
          <t>0.20</t>
        </is>
      </c>
      <c r="G148" s="6" t="n"/>
      <c r="H148" s="12" t="n">
        <v>3</v>
      </c>
      <c r="I148" s="13" t="n"/>
      <c r="J148" s="13" t="n">
        <v>1</v>
      </c>
      <c r="K148" s="14" t="n"/>
      <c r="L148" s="18" t="n"/>
      <c r="M148" s="19" t="n"/>
      <c r="N148" s="32" t="n"/>
      <c r="O148" s="20" t="n"/>
      <c r="P148" s="46" t="inlineStr">
        <is>
          <t>FX Ultra Alçıpan</t>
        </is>
      </c>
      <c r="Q148" s="47" t="n">
        <v>15</v>
      </c>
      <c r="R148" s="26" t="inlineStr">
        <is>
          <t>m²</t>
        </is>
      </c>
      <c r="S148" s="51" t="n"/>
      <c r="T148" s="168" t="n"/>
      <c r="U148" s="169" t="n"/>
      <c r="V148" s="51" t="n"/>
      <c r="W148" s="55" t="n"/>
      <c r="X148" s="1" t="n"/>
    </row>
    <row r="149" ht="28.8" customHeight="1">
      <c r="C149" s="3" t="inlineStr">
        <is>
          <t>132</t>
        </is>
      </c>
      <c r="D149" s="4" t="n">
        <v>46146</v>
      </c>
      <c r="E149" s="5" t="inlineStr">
        <is>
          <t>C3</t>
        </is>
      </c>
      <c r="F149" s="3" t="inlineStr">
        <is>
          <t>15.20</t>
        </is>
      </c>
      <c r="G149" s="6" t="inlineStr">
        <is>
          <t>C-3-311/312/313/314/315/316</t>
        </is>
      </c>
      <c r="H149" s="12" t="n">
        <v>4</v>
      </c>
      <c r="I149" s="13" t="n"/>
      <c r="J149" s="13" t="n">
        <v>3</v>
      </c>
      <c r="K149" s="14" t="n"/>
      <c r="L149" s="18" t="n"/>
      <c r="M149" s="19" t="n"/>
      <c r="N149" s="32" t="n"/>
      <c r="O149" s="20" t="n"/>
      <c r="P149" s="46" t="inlineStr">
        <is>
          <t>40*40*2 mm Kutu Profil</t>
        </is>
      </c>
      <c r="Q149" s="47" t="n">
        <v>40</v>
      </c>
      <c r="R149" s="26" t="inlineStr">
        <is>
          <t>m</t>
        </is>
      </c>
      <c r="S149" s="51" t="n"/>
      <c r="T149" s="168" t="n"/>
      <c r="U149" s="169" t="n"/>
      <c r="V149" s="51" t="n"/>
      <c r="W149" s="55" t="n"/>
      <c r="X149" s="1" t="n"/>
    </row>
    <row r="150" ht="28.8" customHeight="1">
      <c r="C150" s="3" t="inlineStr">
        <is>
          <t>133</t>
        </is>
      </c>
      <c r="D150" s="4" t="n">
        <v>46150</v>
      </c>
      <c r="E150" s="5" t="inlineStr">
        <is>
          <t>C5</t>
        </is>
      </c>
      <c r="F150" s="3" t="inlineStr">
        <is>
          <t>15.20</t>
        </is>
      </c>
      <c r="G150" s="6" t="n"/>
      <c r="H150" s="12" t="n">
        <v>2</v>
      </c>
      <c r="I150" s="13" t="n"/>
      <c r="J150" s="13" t="n">
        <v>2</v>
      </c>
      <c r="K150" s="14" t="n"/>
      <c r="L150" s="18" t="n"/>
      <c r="M150" s="19" t="n"/>
      <c r="N150" s="32" t="n"/>
      <c r="O150" s="20" t="n"/>
      <c r="P150" s="46" t="inlineStr">
        <is>
          <t>40*40*2 mm Kutu Profil</t>
        </is>
      </c>
      <c r="Q150" s="47" t="n">
        <v>30</v>
      </c>
      <c r="R150" s="26" t="inlineStr">
        <is>
          <t>m</t>
        </is>
      </c>
      <c r="S150" s="51" t="n"/>
      <c r="T150" s="168" t="n"/>
      <c r="U150" s="169" t="n"/>
      <c r="V150" s="51" t="n"/>
      <c r="W150" s="55" t="n"/>
      <c r="X150" s="1" t="n"/>
    </row>
    <row r="151" ht="28.8" customHeight="1">
      <c r="A151" t="inlineStr">
        <is>
          <t>İPTAL</t>
        </is>
      </c>
      <c r="C151" s="3" t="inlineStr">
        <is>
          <t>134</t>
        </is>
      </c>
      <c r="D151" s="4" t="n">
        <v>46153</v>
      </c>
      <c r="E151" s="5" t="inlineStr">
        <is>
          <t>C5</t>
        </is>
      </c>
      <c r="F151" s="3" t="inlineStr">
        <is>
          <t>15.20</t>
        </is>
      </c>
      <c r="G151" s="6" t="inlineStr">
        <is>
          <t>C-3-338/339/340/341/342/343</t>
        </is>
      </c>
      <c r="H151" s="12" t="n">
        <v>2</v>
      </c>
      <c r="I151" s="13" t="n"/>
      <c r="J151" s="13" t="n">
        <v>2</v>
      </c>
      <c r="K151" s="14" t="n"/>
      <c r="L151" s="18" t="n"/>
      <c r="M151" s="19" t="n"/>
      <c r="N151" s="32" t="n"/>
      <c r="O151" s="20" t="n"/>
      <c r="P151" s="46" t="inlineStr">
        <is>
          <t>FX Ultra Alçıpan</t>
        </is>
      </c>
      <c r="Q151" s="47" t="n">
        <v>80</v>
      </c>
      <c r="R151" s="26" t="inlineStr">
        <is>
          <t>m²</t>
        </is>
      </c>
      <c r="S151" s="51" t="n"/>
      <c r="T151" s="168" t="n"/>
      <c r="U151" s="169" t="n"/>
      <c r="V151" s="51" t="n"/>
      <c r="W151" s="55" t="n"/>
      <c r="X151" s="1" t="n"/>
    </row>
    <row r="152" ht="28.8" customHeight="1">
      <c r="C152" s="3" t="inlineStr">
        <is>
          <t>135</t>
        </is>
      </c>
      <c r="D152" s="4" t="n">
        <v>46154</v>
      </c>
      <c r="E152" s="5" t="inlineStr">
        <is>
          <t>C5</t>
        </is>
      </c>
      <c r="F152" s="3" t="inlineStr">
        <is>
          <t>20.20</t>
        </is>
      </c>
      <c r="G152" s="6" t="inlineStr">
        <is>
          <t>ŞM-84 ŞAFT</t>
        </is>
      </c>
      <c r="H152" s="12" t="n">
        <v>1</v>
      </c>
      <c r="I152" s="13" t="n"/>
      <c r="J152" s="13" t="n">
        <v>1</v>
      </c>
      <c r="K152" s="14" t="n"/>
      <c r="L152" s="18" t="n"/>
      <c r="M152" s="19" t="n"/>
      <c r="N152" s="32" t="n"/>
      <c r="O152" s="20" t="n"/>
      <c r="P152" s="46" t="n"/>
      <c r="Q152" s="47" t="n"/>
      <c r="R152" s="26" t="n"/>
      <c r="S152" s="51" t="n"/>
      <c r="T152" s="168" t="n"/>
      <c r="U152" s="169" t="n"/>
      <c r="V152" s="51" t="n"/>
      <c r="W152" s="55" t="n"/>
      <c r="X152" s="1" t="n"/>
    </row>
    <row r="153" ht="28.8" customHeight="1">
      <c r="A153" t="inlineStr">
        <is>
          <t>İPTAL</t>
        </is>
      </c>
      <c r="C153" s="3" t="inlineStr">
        <is>
          <t>136</t>
        </is>
      </c>
      <c r="D153" s="4" t="n">
        <v>46154</v>
      </c>
      <c r="E153" s="5" t="inlineStr">
        <is>
          <t>C3</t>
        </is>
      </c>
      <c r="F153" s="3" t="inlineStr">
        <is>
          <t>10.20</t>
        </is>
      </c>
      <c r="G153" s="6" t="n"/>
      <c r="H153" s="12" t="n">
        <v>2</v>
      </c>
      <c r="I153" s="13" t="n"/>
      <c r="J153" s="13" t="n">
        <v>2</v>
      </c>
      <c r="K153" s="14" t="n"/>
      <c r="L153" s="18" t="n"/>
      <c r="M153" s="19" t="n"/>
      <c r="N153" s="32" t="n"/>
      <c r="O153" s="20" t="n"/>
      <c r="P153" s="46" t="inlineStr">
        <is>
          <t>FX Ultra Alçıpan</t>
        </is>
      </c>
      <c r="Q153" s="47" t="n">
        <v>60</v>
      </c>
      <c r="R153" s="26" t="inlineStr">
        <is>
          <t>m²</t>
        </is>
      </c>
      <c r="S153" s="51" t="n"/>
      <c r="T153" s="168" t="n"/>
      <c r="U153" s="169" t="n"/>
      <c r="V153" s="51" t="n"/>
      <c r="W153" s="55" t="n"/>
      <c r="X153" s="1" t="n"/>
    </row>
    <row r="154" ht="28.8" customHeight="1">
      <c r="A154" t="inlineStr">
        <is>
          <t>İPTAL</t>
        </is>
      </c>
      <c r="C154" s="3" t="inlineStr">
        <is>
          <t>137</t>
        </is>
      </c>
      <c r="D154" s="4" t="n">
        <v>46156</v>
      </c>
      <c r="E154" s="5" t="inlineStr">
        <is>
          <t>C3</t>
        </is>
      </c>
      <c r="F154" s="3" t="inlineStr">
        <is>
          <t>5.20</t>
        </is>
      </c>
      <c r="G154" s="6" t="n"/>
      <c r="H154" s="12" t="n">
        <v>2</v>
      </c>
      <c r="I154" s="13" t="n"/>
      <c r="J154" s="13" t="n">
        <v>2</v>
      </c>
      <c r="K154" s="14" t="n"/>
      <c r="L154" s="18" t="n"/>
      <c r="M154" s="19" t="n"/>
      <c r="N154" s="32" t="n"/>
      <c r="O154" s="20" t="n"/>
      <c r="P154" s="46" t="inlineStr">
        <is>
          <t>FX Ultra Alçıpan</t>
        </is>
      </c>
      <c r="Q154" s="47" t="n">
        <v>60</v>
      </c>
      <c r="R154" s="26" t="inlineStr">
        <is>
          <t>m²</t>
        </is>
      </c>
      <c r="S154" s="51" t="n"/>
      <c r="T154" s="168" t="n"/>
      <c r="U154" s="169" t="n"/>
      <c r="V154" s="51" t="n"/>
      <c r="W154" s="55" t="n"/>
      <c r="X154" s="1" t="n"/>
    </row>
    <row r="155" ht="28.8" customHeight="1">
      <c r="C155" s="3" t="inlineStr">
        <is>
          <t>138</t>
        </is>
      </c>
      <c r="D155" s="4" t="n">
        <v>46158</v>
      </c>
      <c r="E155" s="5" t="inlineStr">
        <is>
          <t>C5</t>
        </is>
      </c>
      <c r="F155" s="3" t="inlineStr">
        <is>
          <t>15.20</t>
        </is>
      </c>
      <c r="G155" s="6" t="n"/>
      <c r="H155" s="12" t="n">
        <v>1</v>
      </c>
      <c r="I155" s="13" t="n"/>
      <c r="J155" s="13" t="n">
        <v>1</v>
      </c>
      <c r="K155" s="14" t="n"/>
      <c r="L155" s="18" t="n"/>
      <c r="M155" s="19" t="n"/>
      <c r="N155" s="32" t="n"/>
      <c r="O155" s="20" t="n"/>
      <c r="P155" s="46" t="inlineStr">
        <is>
          <t>FX Ultra Alçıpan</t>
        </is>
      </c>
      <c r="Q155" s="47" t="n">
        <v>10</v>
      </c>
      <c r="R155" s="26" t="inlineStr">
        <is>
          <t>m²</t>
        </is>
      </c>
      <c r="S155" s="51" t="n"/>
      <c r="T155" s="168" t="n"/>
      <c r="U155" s="169" t="n"/>
      <c r="V155" s="51" t="n"/>
      <c r="W155" s="55" t="n"/>
      <c r="X155" s="1" t="n"/>
    </row>
    <row r="156" ht="28.8" customHeight="1">
      <c r="C156" s="3" t="inlineStr">
        <is>
          <t>139</t>
        </is>
      </c>
      <c r="D156" s="4" t="n">
        <v>46160</v>
      </c>
      <c r="E156" s="5" t="inlineStr">
        <is>
          <t>C3</t>
        </is>
      </c>
      <c r="F156" s="3" t="inlineStr">
        <is>
          <t>0.20</t>
        </is>
      </c>
      <c r="G156" s="6" t="n"/>
      <c r="H156" s="12" t="n">
        <v>1</v>
      </c>
      <c r="I156" s="13" t="n"/>
      <c r="J156" s="13" t="n">
        <v>1</v>
      </c>
      <c r="K156" s="14" t="n"/>
      <c r="L156" s="18" t="n"/>
      <c r="M156" s="19" t="n"/>
      <c r="N156" s="32" t="n"/>
      <c r="O156" s="20" t="n"/>
      <c r="P156" s="46" t="n"/>
      <c r="Q156" s="47" t="n"/>
      <c r="R156" s="26" t="n"/>
      <c r="S156" s="51" t="n"/>
      <c r="T156" s="168" t="n"/>
      <c r="U156" s="169" t="n"/>
      <c r="V156" s="51" t="n"/>
      <c r="W156" s="55" t="n"/>
      <c r="X156" s="1" t="n"/>
    </row>
    <row r="157" ht="28.8" customHeight="1">
      <c r="C157" s="3" t="inlineStr">
        <is>
          <t>140</t>
        </is>
      </c>
      <c r="D157" s="4" t="n">
        <v>46160</v>
      </c>
      <c r="E157" s="5" t="inlineStr">
        <is>
          <t>C3</t>
        </is>
      </c>
      <c r="F157" s="3" t="inlineStr">
        <is>
          <t>0.20</t>
        </is>
      </c>
      <c r="G157" s="6" t="inlineStr">
        <is>
          <t>C-Z-311/319</t>
        </is>
      </c>
      <c r="H157" s="12" t="n">
        <v>6</v>
      </c>
      <c r="I157" s="13" t="n"/>
      <c r="J157" s="13" t="n">
        <v>4</v>
      </c>
      <c r="K157" s="14" t="n"/>
      <c r="L157" s="18" t="n"/>
      <c r="M157" s="19" t="n"/>
      <c r="N157" s="32" t="n"/>
      <c r="O157" s="20" t="n"/>
      <c r="P157" s="46" t="inlineStr">
        <is>
          <t>FX Ultra Alçıpan</t>
        </is>
      </c>
      <c r="Q157" s="47" t="n">
        <v>240</v>
      </c>
      <c r="R157" s="26" t="inlineStr">
        <is>
          <t>m²</t>
        </is>
      </c>
      <c r="S157" s="51" t="n"/>
      <c r="T157" s="168" t="n"/>
      <c r="U157" s="169" t="n"/>
      <c r="V157" s="51" t="n"/>
      <c r="W157" s="55" t="n"/>
      <c r="X157" s="1" t="n"/>
    </row>
    <row r="158" ht="28.8" customHeight="1">
      <c r="C158" s="3" t="inlineStr">
        <is>
          <t>141</t>
        </is>
      </c>
      <c r="D158" s="4" t="n">
        <v>46162</v>
      </c>
      <c r="E158" s="5" t="inlineStr">
        <is>
          <t>C5</t>
        </is>
      </c>
      <c r="F158" s="3" t="inlineStr">
        <is>
          <t>0.20</t>
        </is>
      </c>
      <c r="G158" s="6" t="n"/>
      <c r="H158" s="12" t="n"/>
      <c r="I158" s="13" t="n"/>
      <c r="J158" s="13" t="n">
        <v>1</v>
      </c>
      <c r="K158" s="14" t="n"/>
      <c r="L158" s="18" t="n"/>
      <c r="M158" s="19" t="n"/>
      <c r="N158" s="32" t="n"/>
      <c r="O158" s="20" t="n"/>
      <c r="P158" s="46" t="n"/>
      <c r="Q158" s="47" t="n"/>
      <c r="R158" s="26" t="n"/>
      <c r="S158" s="51" t="n"/>
      <c r="T158" s="168" t="n"/>
      <c r="U158" s="169" t="n"/>
      <c r="V158" s="51" t="n"/>
      <c r="W158" s="55" t="n"/>
      <c r="X158" s="1" t="n"/>
    </row>
    <row r="159" ht="28.8" customHeight="1">
      <c r="C159" s="3" t="inlineStr">
        <is>
          <t>142</t>
        </is>
      </c>
      <c r="D159" s="4" t="n">
        <v>46154</v>
      </c>
      <c r="E159" s="5" t="inlineStr">
        <is>
          <t>C5</t>
        </is>
      </c>
      <c r="F159" s="3" t="inlineStr">
        <is>
          <t>5.20</t>
        </is>
      </c>
      <c r="G159" s="6" t="inlineStr">
        <is>
          <t>C-1-034</t>
        </is>
      </c>
      <c r="H159" s="12" t="n">
        <v>1</v>
      </c>
      <c r="I159" s="13" t="n"/>
      <c r="J159" s="13" t="n">
        <v>1</v>
      </c>
      <c r="K159" s="14" t="n"/>
      <c r="L159" s="18" t="n"/>
      <c r="M159" s="19" t="n"/>
      <c r="N159" s="32" t="n"/>
      <c r="O159" s="20" t="n"/>
      <c r="P159" s="46" t="inlineStr">
        <is>
          <t>FX Ultra Alçıpan</t>
        </is>
      </c>
      <c r="Q159" s="47" t="n">
        <v>13</v>
      </c>
      <c r="R159" s="26" t="inlineStr">
        <is>
          <t>m²</t>
        </is>
      </c>
      <c r="S159" s="51" t="n"/>
      <c r="T159" s="168" t="n"/>
      <c r="U159" s="169" t="n"/>
      <c r="V159" s="51" t="n"/>
      <c r="W159" s="55" t="n"/>
      <c r="X159" s="1" t="n"/>
    </row>
    <row r="160" ht="28.8" customHeight="1">
      <c r="C160" s="172" t="n"/>
      <c r="D160" s="172" t="n"/>
      <c r="E160" s="172" t="n"/>
      <c r="F160" s="172" t="n"/>
      <c r="G160" s="173" t="n"/>
      <c r="H160" s="171" t="n"/>
      <c r="I160" s="172" t="n"/>
      <c r="J160" s="172" t="n"/>
      <c r="K160" s="173" t="n"/>
      <c r="L160" s="171" t="n"/>
      <c r="M160" s="172" t="n"/>
      <c r="N160" s="175" t="n"/>
      <c r="O160" s="173" t="n"/>
      <c r="P160" s="46" t="inlineStr">
        <is>
          <t>DC100</t>
        </is>
      </c>
      <c r="Q160" s="47" t="n">
        <v>4.4</v>
      </c>
      <c r="R160" s="26" t="inlineStr">
        <is>
          <t>m</t>
        </is>
      </c>
      <c r="S160" s="51" t="n"/>
      <c r="T160" s="168" t="n"/>
      <c r="U160" s="169" t="n"/>
      <c r="V160" s="51" t="n"/>
      <c r="W160" s="55" t="n"/>
      <c r="X160" s="1" t="n"/>
    </row>
    <row r="161" ht="28.8" customHeight="1">
      <c r="C161" s="3" t="inlineStr">
        <is>
          <t>143</t>
        </is>
      </c>
      <c r="D161" s="4" t="n">
        <v>46177</v>
      </c>
      <c r="E161" s="5" t="inlineStr">
        <is>
          <t>C3 0.20</t>
        </is>
      </c>
      <c r="F161" s="3" t="n"/>
      <c r="G161" s="6" t="n"/>
      <c r="H161" s="12" t="n">
        <v>4</v>
      </c>
      <c r="I161" s="13" t="n"/>
      <c r="J161" s="13" t="n">
        <v>2</v>
      </c>
      <c r="K161" s="14" t="n"/>
      <c r="L161" s="18" t="n"/>
      <c r="M161" s="19" t="n"/>
      <c r="N161" s="32" t="n"/>
      <c r="O161" s="20" t="n"/>
      <c r="P161" s="46" t="inlineStr">
        <is>
          <t>FX Ultra Alçıpan</t>
        </is>
      </c>
      <c r="Q161" s="47" t="n">
        <v>87.12</v>
      </c>
      <c r="R161" s="26" t="inlineStr">
        <is>
          <t>m²</t>
        </is>
      </c>
      <c r="S161" s="51" t="n"/>
      <c r="T161" s="168" t="n"/>
      <c r="U161" s="169" t="n"/>
      <c r="V161" s="51" t="n"/>
      <c r="W161" s="55" t="n"/>
      <c r="X161" s="1" t="n"/>
    </row>
    <row r="162" ht="28.8" customHeight="1">
      <c r="C162" s="3" t="inlineStr">
        <is>
          <t>144</t>
        </is>
      </c>
      <c r="D162" s="4" t="n">
        <v>46178</v>
      </c>
      <c r="E162" s="5" t="inlineStr">
        <is>
          <t>C3 0.20</t>
        </is>
      </c>
      <c r="F162" s="3" t="n"/>
      <c r="G162" s="6" t="n"/>
      <c r="H162" s="12" t="n">
        <v>4</v>
      </c>
      <c r="I162" s="13" t="n"/>
      <c r="J162" s="13" t="n">
        <v>2</v>
      </c>
      <c r="K162" s="14" t="n"/>
      <c r="L162" s="18" t="n"/>
      <c r="M162" s="19" t="n"/>
      <c r="N162" s="32" t="n"/>
      <c r="O162" s="20" t="n"/>
      <c r="P162" s="46" t="inlineStr">
        <is>
          <t>FX Ultra Alçıpan</t>
        </is>
      </c>
      <c r="Q162" s="47" t="n">
        <v>79.2</v>
      </c>
      <c r="R162" s="26" t="inlineStr">
        <is>
          <t>m²</t>
        </is>
      </c>
      <c r="S162" s="51" t="n"/>
      <c r="T162" s="168" t="n"/>
      <c r="U162" s="169" t="n"/>
      <c r="V162" s="51" t="n"/>
      <c r="W162" s="55" t="n"/>
      <c r="X162" s="1" t="n"/>
    </row>
    <row r="163" ht="28.8" customHeight="1">
      <c r="C163" s="3" t="inlineStr">
        <is>
          <t>145</t>
        </is>
      </c>
      <c r="D163" s="4" t="n">
        <v>46178</v>
      </c>
      <c r="E163" s="5" t="inlineStr">
        <is>
          <t>C3 0.20</t>
        </is>
      </c>
      <c r="F163" s="3" t="n"/>
      <c r="G163" s="6" t="n"/>
      <c r="H163" s="12" t="n">
        <v>2</v>
      </c>
      <c r="I163" s="13" t="n"/>
      <c r="J163" s="13" t="n"/>
      <c r="K163" s="14" t="n"/>
      <c r="L163" s="18" t="n"/>
      <c r="M163" s="19" t="n"/>
      <c r="N163" s="32" t="n"/>
      <c r="O163" s="20" t="n"/>
      <c r="P163" s="46" t="n"/>
      <c r="Q163" s="47" t="n"/>
      <c r="R163" s="26" t="n"/>
      <c r="S163" s="51" t="n"/>
      <c r="T163" s="168" t="n"/>
      <c r="U163" s="169" t="n"/>
      <c r="V163" s="51" t="n"/>
      <c r="W163" s="55" t="n"/>
      <c r="X163" s="1" t="n"/>
    </row>
    <row r="164" ht="28.8" customHeight="1">
      <c r="C164" s="3" t="inlineStr">
        <is>
          <t>146</t>
        </is>
      </c>
      <c r="D164" s="4" t="n">
        <v>46179</v>
      </c>
      <c r="E164" s="5" t="inlineStr">
        <is>
          <t>C3 0.20</t>
        </is>
      </c>
      <c r="F164" s="3" t="n"/>
      <c r="G164" s="6" t="n"/>
      <c r="H164" s="12" t="n">
        <v>3</v>
      </c>
      <c r="I164" s="13" t="n"/>
      <c r="J164" s="13" t="n"/>
      <c r="K164" s="14" t="n"/>
      <c r="L164" s="18" t="n"/>
      <c r="M164" s="19" t="n"/>
      <c r="N164" s="32" t="n"/>
      <c r="O164" s="20" t="n"/>
      <c r="P164" s="46" t="inlineStr">
        <is>
          <t>FX Ultra Alçıpan</t>
        </is>
      </c>
      <c r="Q164" s="47" t="n">
        <v>52.8</v>
      </c>
      <c r="R164" s="26" t="inlineStr">
        <is>
          <t>m²</t>
        </is>
      </c>
      <c r="S164" s="51" t="n"/>
      <c r="T164" s="168" t="n"/>
      <c r="U164" s="169" t="n"/>
      <c r="V164" s="51" t="n"/>
      <c r="W164" s="55" t="n"/>
      <c r="X164" s="1" t="n"/>
    </row>
    <row r="165" ht="28.8" customHeight="1">
      <c r="C165" s="3" t="inlineStr">
        <is>
          <t>147</t>
        </is>
      </c>
      <c r="D165" s="4" t="n">
        <v>46178</v>
      </c>
      <c r="E165" s="5" t="inlineStr">
        <is>
          <t>C3 0.20</t>
        </is>
      </c>
      <c r="F165" s="3" t="n"/>
      <c r="G165" s="6" t="n"/>
      <c r="H165" s="12" t="n">
        <v>2</v>
      </c>
      <c r="I165" s="13" t="n"/>
      <c r="J165" s="13" t="n"/>
      <c r="K165" s="14" t="n"/>
      <c r="L165" s="18" t="n"/>
      <c r="M165" s="19" t="n"/>
      <c r="N165" s="32" t="n"/>
      <c r="O165" s="20" t="n"/>
      <c r="P165" s="46" t="n"/>
      <c r="Q165" s="47" t="n"/>
      <c r="R165" s="26" t="n"/>
      <c r="S165" s="51" t="n"/>
      <c r="T165" s="168" t="n"/>
      <c r="U165" s="169" t="n"/>
      <c r="V165" s="51" t="n"/>
      <c r="W165" s="55" t="n"/>
      <c r="X165" s="1" t="n"/>
    </row>
    <row r="166" ht="28.8" customHeight="1">
      <c r="C166" s="3" t="inlineStr">
        <is>
          <t>148</t>
        </is>
      </c>
      <c r="D166" s="4" t="n">
        <v>46179</v>
      </c>
      <c r="E166" s="5" t="inlineStr">
        <is>
          <t>C3 0.20</t>
        </is>
      </c>
      <c r="F166" s="3" t="n"/>
      <c r="G166" s="6" t="n"/>
      <c r="H166" s="12" t="n">
        <v>4</v>
      </c>
      <c r="I166" s="13" t="n"/>
      <c r="J166" s="13" t="n">
        <v>2</v>
      </c>
      <c r="K166" s="14" t="n"/>
      <c r="L166" s="18" t="n"/>
      <c r="M166" s="19" t="n"/>
      <c r="N166" s="32" t="n"/>
      <c r="O166" s="20" t="n"/>
      <c r="P166" s="46" t="inlineStr">
        <is>
          <t>FX Ultra Alçıpan</t>
        </is>
      </c>
      <c r="Q166" s="47" t="n">
        <v>92.40000000000001</v>
      </c>
      <c r="R166" s="26" t="inlineStr">
        <is>
          <t>m²</t>
        </is>
      </c>
      <c r="S166" s="51" t="n"/>
      <c r="T166" s="168" t="n"/>
      <c r="U166" s="169" t="n"/>
      <c r="V166" s="51" t="n"/>
      <c r="W166" s="55" t="n"/>
      <c r="X166" s="1" t="n"/>
    </row>
    <row r="167" ht="28.8" customHeight="1">
      <c r="C167" s="3" t="inlineStr">
        <is>
          <t>149</t>
        </is>
      </c>
      <c r="D167" s="4" t="n">
        <v>46180</v>
      </c>
      <c r="E167" s="5" t="inlineStr">
        <is>
          <t>MC10 MERDİVENİ</t>
        </is>
      </c>
      <c r="F167" s="3" t="n"/>
      <c r="G167" s="6" t="n"/>
      <c r="H167" s="12" t="n">
        <v>3</v>
      </c>
      <c r="I167" s="13" t="n"/>
      <c r="J167" s="13" t="n"/>
      <c r="K167" s="14" t="n"/>
      <c r="L167" s="18" t="n"/>
      <c r="M167" s="19" t="n"/>
      <c r="N167" s="32" t="n"/>
      <c r="O167" s="20" t="n"/>
      <c r="P167" s="46" t="n"/>
      <c r="Q167" s="47" t="n"/>
      <c r="R167" s="26" t="n"/>
      <c r="S167" s="51" t="n"/>
      <c r="T167" s="168" t="n"/>
      <c r="U167" s="169" t="n"/>
      <c r="V167" s="51" t="n"/>
      <c r="W167" s="55" t="n"/>
      <c r="X167" s="1" t="n"/>
    </row>
    <row r="168" ht="28.8" customHeight="1">
      <c r="C168" s="3" t="inlineStr">
        <is>
          <t>150</t>
        </is>
      </c>
      <c r="D168" s="4" t="n">
        <v>46181</v>
      </c>
      <c r="E168" s="5" t="n"/>
      <c r="F168" s="3" t="n"/>
      <c r="G168" s="6" t="inlineStr">
        <is>
          <t>C-Z-359/360</t>
        </is>
      </c>
      <c r="H168" s="12" t="n">
        <v>5</v>
      </c>
      <c r="I168" s="13" t="n"/>
      <c r="J168" s="13" t="n">
        <v>1</v>
      </c>
      <c r="K168" s="14" t="n"/>
      <c r="L168" s="18" t="n"/>
      <c r="M168" s="19" t="n"/>
      <c r="N168" s="32" t="n"/>
      <c r="O168" s="20" t="n"/>
      <c r="P168" s="46" t="inlineStr">
        <is>
          <t>FX Ultra Alçıpan</t>
        </is>
      </c>
      <c r="Q168" s="47" t="n">
        <v>31.68</v>
      </c>
      <c r="R168" s="26" t="inlineStr">
        <is>
          <t>m²</t>
        </is>
      </c>
      <c r="S168" s="51" t="n"/>
      <c r="T168" s="168" t="n"/>
      <c r="U168" s="169" t="n"/>
      <c r="V168" s="51" t="n"/>
      <c r="W168" s="55" t="n"/>
      <c r="X168" s="1" t="n"/>
    </row>
    <row r="169" ht="28.8" customHeight="1">
      <c r="C169" s="3" t="inlineStr">
        <is>
          <t>151</t>
        </is>
      </c>
      <c r="D169" s="4" t="n">
        <v>46182</v>
      </c>
      <c r="E169" s="5" t="inlineStr">
        <is>
          <t>C3 0.20</t>
        </is>
      </c>
      <c r="F169" s="3" t="n"/>
      <c r="G169" s="6" t="n"/>
      <c r="H169" s="12" t="n">
        <v>4</v>
      </c>
      <c r="I169" s="13" t="n"/>
      <c r="J169" s="13" t="n">
        <v>2</v>
      </c>
      <c r="K169" s="14" t="n"/>
      <c r="L169" s="18" t="n"/>
      <c r="M169" s="19" t="n"/>
      <c r="N169" s="32" t="n"/>
      <c r="O169" s="20" t="n"/>
      <c r="P169" s="46" t="inlineStr">
        <is>
          <t>FX Ultra Alçıpan</t>
        </is>
      </c>
      <c r="Q169" s="47" t="n">
        <v>31.68</v>
      </c>
      <c r="R169" s="26" t="inlineStr">
        <is>
          <t>m²</t>
        </is>
      </c>
      <c r="S169" s="51" t="n"/>
      <c r="T169" s="168" t="n"/>
      <c r="U169" s="169" t="n"/>
      <c r="V169" s="51" t="n"/>
      <c r="W169" s="55" t="n"/>
      <c r="X169" s="1" t="n"/>
    </row>
    <row r="170" ht="28.8" customHeight="1">
      <c r="C170" s="3" t="inlineStr">
        <is>
          <t>152</t>
        </is>
      </c>
      <c r="D170" s="4" t="n">
        <v>46183</v>
      </c>
      <c r="E170" s="5" t="inlineStr">
        <is>
          <t>C3 0.20</t>
        </is>
      </c>
      <c r="F170" s="3" t="n"/>
      <c r="G170" s="6" t="n"/>
      <c r="H170" s="12" t="n">
        <v>4</v>
      </c>
      <c r="I170" s="13" t="n"/>
      <c r="J170" s="13" t="n">
        <v>2</v>
      </c>
      <c r="K170" s="14" t="n"/>
      <c r="L170" s="18" t="n"/>
      <c r="M170" s="19" t="n"/>
      <c r="N170" s="32" t="n"/>
      <c r="O170" s="20" t="n"/>
      <c r="P170" s="46" t="inlineStr">
        <is>
          <t>FX Ultra Alçıpan</t>
        </is>
      </c>
      <c r="Q170" s="47" t="n">
        <v>92.40000000000001</v>
      </c>
      <c r="R170" s="26" t="inlineStr">
        <is>
          <t>m²</t>
        </is>
      </c>
      <c r="S170" s="51" t="n"/>
      <c r="T170" s="168" t="n"/>
      <c r="U170" s="169" t="n"/>
      <c r="V170" s="51" t="n"/>
      <c r="W170" s="55" t="n"/>
      <c r="X170" s="1" t="n"/>
    </row>
    <row r="171" ht="28.8" customHeight="1">
      <c r="C171" s="3" t="inlineStr">
        <is>
          <t>153</t>
        </is>
      </c>
      <c r="D171" s="4" t="n">
        <v>46184</v>
      </c>
      <c r="E171" s="5" t="inlineStr">
        <is>
          <t>C3 0.20</t>
        </is>
      </c>
      <c r="F171" s="3" t="n"/>
      <c r="G171" s="6" t="n"/>
      <c r="H171" s="12" t="n">
        <v>4</v>
      </c>
      <c r="I171" s="13" t="n"/>
      <c r="J171" s="13" t="n">
        <v>2</v>
      </c>
      <c r="K171" s="14" t="n"/>
      <c r="L171" s="18" t="n"/>
      <c r="M171" s="19" t="n"/>
      <c r="N171" s="32" t="n"/>
      <c r="O171" s="20" t="n"/>
      <c r="P171" s="46" t="inlineStr">
        <is>
          <t>FX Ultra Alçıpan</t>
        </is>
      </c>
      <c r="Q171" s="47" t="n">
        <v>31.68</v>
      </c>
      <c r="R171" s="26" t="inlineStr">
        <is>
          <t>m²</t>
        </is>
      </c>
      <c r="S171" s="51" t="n"/>
      <c r="T171" s="168" t="n"/>
      <c r="U171" s="169" t="n"/>
      <c r="V171" s="51" t="n"/>
      <c r="W171" s="55" t="n"/>
      <c r="X171" s="1" t="n"/>
    </row>
    <row r="172" ht="28.8" customHeight="1">
      <c r="C172" s="3" t="inlineStr">
        <is>
          <t>154</t>
        </is>
      </c>
      <c r="D172" s="4" t="n">
        <v>46185</v>
      </c>
      <c r="E172" s="5" t="inlineStr">
        <is>
          <t>C5 0.20</t>
        </is>
      </c>
      <c r="F172" s="3" t="n"/>
      <c r="G172" s="6" t="n"/>
      <c r="H172" s="12" t="n">
        <v>6</v>
      </c>
      <c r="I172" s="13" t="n"/>
      <c r="J172" s="13" t="n">
        <v>2</v>
      </c>
      <c r="K172" s="14" t="n"/>
      <c r="L172" s="18" t="n"/>
      <c r="M172" s="19" t="n"/>
      <c r="N172" s="32" t="n"/>
      <c r="O172" s="20" t="n"/>
      <c r="P172" s="46" t="inlineStr">
        <is>
          <t>FX Ultra Alçıpan</t>
        </is>
      </c>
      <c r="Q172" s="47" t="n">
        <v>100.32</v>
      </c>
      <c r="R172" s="26" t="inlineStr">
        <is>
          <t>m²</t>
        </is>
      </c>
      <c r="S172" s="51" t="n"/>
      <c r="T172" s="168" t="n"/>
      <c r="U172" s="169" t="n"/>
      <c r="V172" s="51" t="n"/>
      <c r="W172" s="55" t="n"/>
      <c r="X172" s="1" t="n"/>
    </row>
    <row r="173" ht="28.8" customHeight="1">
      <c r="C173" s="3" t="inlineStr">
        <is>
          <t>155</t>
        </is>
      </c>
      <c r="D173" s="4" t="n">
        <v>46023</v>
      </c>
      <c r="E173" s="5" t="n"/>
      <c r="F173" s="3" t="n"/>
      <c r="G173" s="6" t="n"/>
      <c r="H173" s="12" t="n">
        <v>15</v>
      </c>
      <c r="I173" s="13" t="n"/>
      <c r="J173" s="13" t="n">
        <v>5</v>
      </c>
      <c r="K173" s="14" t="n"/>
      <c r="L173" s="18" t="n"/>
      <c r="M173" s="19" t="n"/>
      <c r="N173" s="32" t="n"/>
      <c r="O173" s="20" t="n"/>
      <c r="P173" s="46" t="n"/>
      <c r="Q173" s="47" t="n"/>
      <c r="R173" s="26" t="n"/>
      <c r="S173" s="51" t="n"/>
      <c r="T173" s="168" t="n"/>
      <c r="U173" s="169" t="n"/>
      <c r="V173" s="51" t="n"/>
      <c r="W173" s="55" t="n"/>
      <c r="X173" s="1" t="n"/>
    </row>
    <row r="174" ht="28.8" customHeight="1">
      <c r="C174" s="3" t="inlineStr">
        <is>
          <t>156</t>
        </is>
      </c>
      <c r="D174" s="4" t="n">
        <v>46054</v>
      </c>
      <c r="E174" s="5" t="n"/>
      <c r="F174" s="3" t="n"/>
      <c r="G174" s="6" t="n"/>
      <c r="H174" s="12" t="n">
        <v>16</v>
      </c>
      <c r="I174" s="13" t="n"/>
      <c r="J174" s="13" t="n">
        <v>7</v>
      </c>
      <c r="K174" s="14" t="n"/>
      <c r="L174" s="18" t="n"/>
      <c r="M174" s="19" t="n"/>
      <c r="N174" s="32" t="n"/>
      <c r="O174" s="20" t="n"/>
      <c r="P174" s="46" t="n"/>
      <c r="Q174" s="47" t="n"/>
      <c r="R174" s="26" t="n"/>
      <c r="S174" s="51" t="n"/>
      <c r="T174" s="168" t="n"/>
      <c r="U174" s="169" t="n"/>
      <c r="V174" s="51" t="n"/>
      <c r="W174" s="55" t="n"/>
      <c r="X174" s="1" t="n"/>
    </row>
    <row r="175" ht="28.8" customHeight="1">
      <c r="C175" s="3" t="inlineStr">
        <is>
          <t>157</t>
        </is>
      </c>
      <c r="D175" s="4" t="n">
        <v>46082</v>
      </c>
      <c r="E175" s="5" t="n"/>
      <c r="F175" s="3" t="n"/>
      <c r="G175" s="6" t="n"/>
      <c r="H175" s="12" t="n">
        <v>9</v>
      </c>
      <c r="I175" s="13" t="n"/>
      <c r="J175" s="13" t="n">
        <v>10</v>
      </c>
      <c r="K175" s="14" t="n"/>
      <c r="L175" s="18" t="n"/>
      <c r="M175" s="19" t="n"/>
      <c r="N175" s="32" t="n"/>
      <c r="O175" s="20" t="n"/>
      <c r="P175" s="46" t="n"/>
      <c r="Q175" s="47" t="n"/>
      <c r="R175" s="26" t="n"/>
      <c r="S175" s="51" t="n"/>
      <c r="T175" s="168" t="n"/>
      <c r="U175" s="169" t="n"/>
      <c r="V175" s="51" t="n"/>
      <c r="W175" s="55" t="n"/>
      <c r="X175" s="1" t="n"/>
    </row>
    <row r="176" ht="28.8" customHeight="1">
      <c r="C176" s="3" t="inlineStr">
        <is>
          <t>158</t>
        </is>
      </c>
      <c r="D176" s="4" t="n">
        <v>46113</v>
      </c>
      <c r="E176" s="5" t="n"/>
      <c r="F176" s="3" t="n"/>
      <c r="G176" s="6" t="n"/>
      <c r="H176" s="12" t="n">
        <v>17</v>
      </c>
      <c r="I176" s="13" t="n"/>
      <c r="J176" s="13" t="n">
        <v>5</v>
      </c>
      <c r="K176" s="14" t="n"/>
      <c r="L176" s="18" t="n"/>
      <c r="M176" s="19" t="n"/>
      <c r="N176" s="32" t="n"/>
      <c r="O176" s="20" t="n"/>
      <c r="P176" s="46" t="n"/>
      <c r="Q176" s="47" t="n"/>
      <c r="R176" s="26" t="n"/>
      <c r="S176" s="51" t="n"/>
      <c r="T176" s="168" t="n"/>
      <c r="U176" s="169" t="n"/>
      <c r="V176" s="51" t="n"/>
      <c r="W176" s="55" t="n"/>
      <c r="X176" s="1" t="n"/>
    </row>
    <row r="177" ht="28.8" customHeight="1">
      <c r="C177" s="3" t="inlineStr">
        <is>
          <t>159</t>
        </is>
      </c>
      <c r="D177" s="4" t="n">
        <v>45992</v>
      </c>
      <c r="E177" s="5" t="n"/>
      <c r="F177" s="3" t="n"/>
      <c r="G177" s="6" t="n"/>
      <c r="H177" s="12" t="n">
        <v>6</v>
      </c>
      <c r="I177" s="13" t="n"/>
      <c r="J177" s="13" t="n"/>
      <c r="K177" s="14" t="n"/>
      <c r="L177" s="18" t="n"/>
      <c r="M177" s="19" t="n"/>
      <c r="N177" s="32" t="n"/>
      <c r="O177" s="20" t="n"/>
      <c r="P177" s="46" t="n"/>
      <c r="Q177" s="47" t="n"/>
      <c r="R177" s="26" t="n"/>
      <c r="S177" s="51" t="n"/>
      <c r="T177" s="168" t="n"/>
      <c r="U177" s="169" t="n"/>
      <c r="V177" s="51" t="n"/>
      <c r="W177" s="55" t="n"/>
      <c r="X177" s="1" t="n"/>
    </row>
    <row r="178" ht="28.8" customHeight="1">
      <c r="C178" s="3" t="inlineStr">
        <is>
          <t>160</t>
        </is>
      </c>
      <c r="D178" s="4" t="n">
        <v>46190</v>
      </c>
      <c r="E178" s="5" t="inlineStr">
        <is>
          <t>C5</t>
        </is>
      </c>
      <c r="F178" s="3" t="inlineStr">
        <is>
          <t>0.20</t>
        </is>
      </c>
      <c r="G178" s="6" t="inlineStr">
        <is>
          <t>C-Z-227/228</t>
        </is>
      </c>
      <c r="H178" s="12" t="n">
        <v>2</v>
      </c>
      <c r="I178" s="13" t="n"/>
      <c r="J178" s="13" t="n">
        <v>2</v>
      </c>
      <c r="K178" s="14" t="n"/>
      <c r="L178" s="18" t="n"/>
      <c r="M178" s="19" t="n"/>
      <c r="N178" s="32" t="n"/>
      <c r="O178" s="20" t="n"/>
      <c r="P178" s="46" t="inlineStr">
        <is>
          <t>Suya Dayanıklı Alçıpan</t>
        </is>
      </c>
      <c r="Q178" s="47" t="n">
        <v>54</v>
      </c>
      <c r="R178" s="26" t="inlineStr">
        <is>
          <t>m²</t>
        </is>
      </c>
      <c r="S178" s="51" t="n"/>
      <c r="T178" s="168" t="n"/>
      <c r="U178" s="169" t="n"/>
      <c r="V178" s="51" t="n"/>
      <c r="W178" s="55" t="n"/>
      <c r="X178" s="1" t="n"/>
    </row>
    <row r="179" ht="28.8" customHeight="1">
      <c r="C179" s="3" t="inlineStr">
        <is>
          <t>161</t>
        </is>
      </c>
      <c r="D179" s="4" t="n">
        <v>46191</v>
      </c>
      <c r="E179" s="5" t="inlineStr">
        <is>
          <t>C5</t>
        </is>
      </c>
      <c r="F179" s="3" t="inlineStr">
        <is>
          <t>0.20-5.20-15.20</t>
        </is>
      </c>
      <c r="G179" s="6" t="n"/>
      <c r="H179" s="12" t="n">
        <v>1</v>
      </c>
      <c r="I179" s="13" t="n"/>
      <c r="J179" s="13" t="n">
        <v>1</v>
      </c>
      <c r="K179" s="14" t="n"/>
      <c r="L179" s="18" t="n"/>
      <c r="M179" s="19" t="n"/>
      <c r="N179" s="32" t="n"/>
      <c r="O179" s="20" t="n"/>
      <c r="P179" s="46" t="inlineStr">
        <is>
          <t>FX Ultra Alçıpan</t>
        </is>
      </c>
      <c r="Q179" s="47" t="n">
        <v>17</v>
      </c>
      <c r="R179" s="26" t="inlineStr">
        <is>
          <t>m²</t>
        </is>
      </c>
      <c r="S179" s="51" t="n"/>
      <c r="T179" s="168" t="n"/>
      <c r="U179" s="169" t="n"/>
      <c r="V179" s="51" t="n"/>
      <c r="W179" s="55" t="n"/>
      <c r="X179" s="1" t="n"/>
    </row>
    <row r="180" ht="28.8" customHeight="1">
      <c r="C180" s="3" t="inlineStr">
        <is>
          <t>162</t>
        </is>
      </c>
      <c r="D180" s="4" t="n">
        <v>46192</v>
      </c>
      <c r="E180" s="5" t="inlineStr">
        <is>
          <t>C3</t>
        </is>
      </c>
      <c r="F180" s="3" t="inlineStr">
        <is>
          <t>5.20</t>
        </is>
      </c>
      <c r="G180" s="6" t="n"/>
      <c r="H180" s="12" t="n">
        <v>1</v>
      </c>
      <c r="I180" s="13" t="n"/>
      <c r="J180" s="13" t="n">
        <v>1</v>
      </c>
      <c r="K180" s="14" t="n"/>
      <c r="L180" s="18" t="n"/>
      <c r="M180" s="19" t="n"/>
      <c r="N180" s="32" t="n"/>
      <c r="O180" s="20" t="n"/>
      <c r="P180" s="46" t="inlineStr">
        <is>
          <t>FX Ultra Alçıpan</t>
        </is>
      </c>
      <c r="Q180" s="47" t="n">
        <v>10</v>
      </c>
      <c r="R180" s="26" t="inlineStr">
        <is>
          <t>m²</t>
        </is>
      </c>
      <c r="S180" s="51" t="n"/>
      <c r="T180" s="168" t="n"/>
      <c r="U180" s="169" t="n"/>
      <c r="V180" s="51" t="n"/>
      <c r="W180" s="55" t="n"/>
      <c r="X180" s="1" t="n"/>
    </row>
    <row r="181" ht="28.8" customHeight="1">
      <c r="C181" s="3" t="inlineStr">
        <is>
          <t>163</t>
        </is>
      </c>
      <c r="D181" s="4" t="n">
        <v>46194</v>
      </c>
      <c r="E181" s="5" t="inlineStr">
        <is>
          <t>C5</t>
        </is>
      </c>
      <c r="F181" s="3" t="inlineStr">
        <is>
          <t>0.20</t>
        </is>
      </c>
      <c r="G181" s="6" t="inlineStr">
        <is>
          <t>C-Z-355/356/357/358/359/360</t>
        </is>
      </c>
      <c r="H181" s="12" t="n">
        <v>2</v>
      </c>
      <c r="I181" s="13" t="n"/>
      <c r="J181" s="13" t="n">
        <v>2</v>
      </c>
      <c r="K181" s="14" t="n"/>
      <c r="L181" s="18" t="n"/>
      <c r="M181" s="19" t="n"/>
      <c r="N181" s="32" t="n"/>
      <c r="O181" s="20" t="n"/>
      <c r="P181" s="46" t="n"/>
      <c r="Q181" s="47" t="n"/>
      <c r="R181" s="26" t="n"/>
      <c r="S181" s="51" t="n"/>
      <c r="T181" s="168" t="n"/>
      <c r="U181" s="169" t="n"/>
      <c r="V181" s="51" t="n"/>
      <c r="W181" s="55" t="n"/>
      <c r="X181" s="1" t="n"/>
    </row>
    <row r="182" ht="28.8" customHeight="1">
      <c r="C182" s="3" t="inlineStr">
        <is>
          <t>164</t>
        </is>
      </c>
      <c r="D182" s="4" t="n">
        <v>46196</v>
      </c>
      <c r="E182" s="5" t="inlineStr">
        <is>
          <t>C5</t>
        </is>
      </c>
      <c r="F182" s="3" t="inlineStr">
        <is>
          <t>0.20</t>
        </is>
      </c>
      <c r="G182" s="6" t="n"/>
      <c r="H182" s="12" t="n">
        <v>1</v>
      </c>
      <c r="I182" s="13" t="n"/>
      <c r="J182" s="13" t="n">
        <v>1</v>
      </c>
      <c r="K182" s="14" t="n"/>
      <c r="L182" s="18" t="n"/>
      <c r="M182" s="19" t="n"/>
      <c r="N182" s="32" t="n"/>
      <c r="O182" s="20" t="n"/>
      <c r="P182" s="46" t="n"/>
      <c r="Q182" s="47" t="n"/>
      <c r="R182" s="26" t="n"/>
      <c r="S182" s="51" t="n"/>
      <c r="T182" s="168" t="n"/>
      <c r="U182" s="169" t="n"/>
      <c r="V182" s="51" t="n"/>
      <c r="W182" s="55" t="n"/>
      <c r="X182" s="1" t="n"/>
    </row>
    <row r="183" ht="28.8" customHeight="1">
      <c r="C183" s="3" t="inlineStr">
        <is>
          <t>165</t>
        </is>
      </c>
      <c r="D183" s="4" t="n">
        <v>46190</v>
      </c>
      <c r="E183" s="5" t="inlineStr">
        <is>
          <t>C5</t>
        </is>
      </c>
      <c r="F183" s="3" t="inlineStr">
        <is>
          <t>0.20</t>
        </is>
      </c>
      <c r="G183" s="6" t="n"/>
      <c r="H183" s="12" t="n">
        <v>2</v>
      </c>
      <c r="I183" s="13" t="n"/>
      <c r="J183" s="13" t="n">
        <v>1</v>
      </c>
      <c r="K183" s="14" t="n"/>
      <c r="L183" s="18" t="n"/>
      <c r="M183" s="19" t="n"/>
      <c r="N183" s="32" t="n"/>
      <c r="O183" s="20" t="n"/>
      <c r="P183" s="46" t="inlineStr">
        <is>
          <t>FX Ultra Alçıpan</t>
        </is>
      </c>
      <c r="Q183" s="47" t="n">
        <v>36</v>
      </c>
      <c r="R183" s="26" t="inlineStr">
        <is>
          <t>m²</t>
        </is>
      </c>
      <c r="S183" s="51" t="n"/>
      <c r="T183" s="168" t="n"/>
      <c r="U183" s="169" t="n"/>
      <c r="V183" s="51" t="n"/>
      <c r="W183" s="55" t="n"/>
      <c r="X183" s="1" t="n"/>
    </row>
    <row r="184" ht="28.8" customHeight="1">
      <c r="C184" s="3" t="inlineStr">
        <is>
          <t>165A</t>
        </is>
      </c>
      <c r="D184" s="4" t="n">
        <v>46190</v>
      </c>
      <c r="E184" s="5" t="inlineStr">
        <is>
          <t>C5</t>
        </is>
      </c>
      <c r="F184" s="3" t="inlineStr">
        <is>
          <t>0.20</t>
        </is>
      </c>
      <c r="G184" s="6" t="n"/>
      <c r="H184" s="12" t="n">
        <v>2</v>
      </c>
      <c r="I184" s="13" t="n"/>
      <c r="J184" s="13" t="n">
        <v>3</v>
      </c>
      <c r="K184" s="14" t="n"/>
      <c r="L184" s="18" t="n"/>
      <c r="M184" s="19" t="n"/>
      <c r="N184" s="32" t="n"/>
      <c r="O184" s="20" t="n"/>
      <c r="P184" s="46" t="inlineStr">
        <is>
          <t>FX Ultra Alçıpan</t>
        </is>
      </c>
      <c r="Q184" s="47" t="n">
        <v>37</v>
      </c>
      <c r="R184" s="26" t="inlineStr">
        <is>
          <t>m²</t>
        </is>
      </c>
      <c r="S184" s="51" t="n"/>
      <c r="T184" s="168" t="n"/>
      <c r="U184" s="169" t="n"/>
      <c r="V184" s="51" t="n"/>
      <c r="W184" s="55" t="n"/>
      <c r="X184" s="1" t="n"/>
    </row>
    <row r="185" ht="28.8" customHeight="1">
      <c r="C185" s="3" t="inlineStr">
        <is>
          <t>166</t>
        </is>
      </c>
      <c r="D185" s="4" t="n">
        <v>46191</v>
      </c>
      <c r="E185" s="5" t="inlineStr">
        <is>
          <t>C5</t>
        </is>
      </c>
      <c r="F185" s="3" t="inlineStr">
        <is>
          <t>0.20</t>
        </is>
      </c>
      <c r="G185" s="6" t="n"/>
      <c r="H185" s="12" t="n">
        <v>2</v>
      </c>
      <c r="I185" s="13" t="n"/>
      <c r="J185" s="13" t="n">
        <v>3</v>
      </c>
      <c r="K185" s="14" t="n"/>
      <c r="L185" s="18" t="n"/>
      <c r="M185" s="19" t="n"/>
      <c r="N185" s="32" t="n"/>
      <c r="O185" s="20" t="n"/>
      <c r="P185" s="46" t="inlineStr">
        <is>
          <t>FX Ultra Alçıpan</t>
        </is>
      </c>
      <c r="Q185" s="47" t="n">
        <v>35</v>
      </c>
      <c r="R185" s="26" t="inlineStr">
        <is>
          <t>m²</t>
        </is>
      </c>
      <c r="S185" s="51" t="n"/>
      <c r="T185" s="168" t="n"/>
      <c r="U185" s="169" t="n"/>
      <c r="V185" s="51" t="n"/>
      <c r="W185" s="55" t="n"/>
      <c r="X185" s="1" t="n"/>
    </row>
    <row r="186" ht="28.8" customHeight="1">
      <c r="C186" s="3" t="inlineStr">
        <is>
          <t>166A</t>
        </is>
      </c>
      <c r="D186" s="4" t="n">
        <v>46191</v>
      </c>
      <c r="E186" s="5" t="inlineStr">
        <is>
          <t>C5</t>
        </is>
      </c>
      <c r="F186" s="3" t="inlineStr">
        <is>
          <t>0.20</t>
        </is>
      </c>
      <c r="G186" s="6" t="n"/>
      <c r="H186" s="12" t="n">
        <v>2</v>
      </c>
      <c r="I186" s="13" t="n"/>
      <c r="J186" s="13" t="n">
        <v>1</v>
      </c>
      <c r="K186" s="14" t="n"/>
      <c r="L186" s="18" t="n"/>
      <c r="M186" s="19" t="n"/>
      <c r="N186" s="32" t="n"/>
      <c r="O186" s="20" t="n"/>
      <c r="P186" s="46" t="inlineStr">
        <is>
          <t>FX Ultra Alçıpan</t>
        </is>
      </c>
      <c r="Q186" s="47" t="n">
        <v>19</v>
      </c>
      <c r="R186" s="26" t="inlineStr">
        <is>
          <t>m²</t>
        </is>
      </c>
      <c r="S186" s="51" t="n"/>
      <c r="T186" s="168" t="n"/>
      <c r="U186" s="169" t="n"/>
      <c r="V186" s="51" t="n"/>
      <c r="W186" s="55" t="n"/>
      <c r="X186" s="1" t="n"/>
    </row>
    <row r="187" ht="28.8" customHeight="1">
      <c r="C187" s="3" t="inlineStr">
        <is>
          <t>167</t>
        </is>
      </c>
      <c r="D187" s="4" t="n">
        <v>46196</v>
      </c>
      <c r="E187" s="5" t="inlineStr">
        <is>
          <t>C3</t>
        </is>
      </c>
      <c r="F187" s="3" t="inlineStr">
        <is>
          <t>5.20</t>
        </is>
      </c>
      <c r="G187" s="6" t="n"/>
      <c r="H187" s="12" t="n">
        <v>5</v>
      </c>
      <c r="I187" s="13" t="n"/>
      <c r="J187" s="13" t="n">
        <v>5</v>
      </c>
      <c r="K187" s="14" t="n"/>
      <c r="L187" s="18" t="n"/>
      <c r="M187" s="19" t="n"/>
      <c r="N187" s="32" t="n"/>
      <c r="O187" s="20" t="n"/>
      <c r="P187" s="46" t="inlineStr">
        <is>
          <t>FX Ultra Alçıpan</t>
        </is>
      </c>
      <c r="Q187" s="47" t="n">
        <v>135</v>
      </c>
      <c r="R187" s="26" t="inlineStr">
        <is>
          <t>m²</t>
        </is>
      </c>
      <c r="S187" s="51" t="n"/>
      <c r="T187" s="168" t="n"/>
      <c r="U187" s="169" t="n"/>
      <c r="V187" s="51" t="n"/>
      <c r="W187" s="55" t="n"/>
      <c r="X187" s="1" t="n"/>
    </row>
    <row r="188" ht="28.8" customHeight="1">
      <c r="C188" s="3" t="inlineStr">
        <is>
          <t>168</t>
        </is>
      </c>
      <c r="D188" s="4" t="n">
        <v>46197</v>
      </c>
      <c r="E188" s="5" t="inlineStr">
        <is>
          <t>C3</t>
        </is>
      </c>
      <c r="F188" s="3" t="inlineStr">
        <is>
          <t>10.20</t>
        </is>
      </c>
      <c r="G188" s="6" t="n"/>
      <c r="H188" s="12" t="n">
        <v>5</v>
      </c>
      <c r="I188" s="13" t="n"/>
      <c r="J188" s="13" t="n">
        <v>5</v>
      </c>
      <c r="K188" s="14" t="n"/>
      <c r="L188" s="18" t="n"/>
      <c r="M188" s="19" t="n"/>
      <c r="N188" s="32" t="n"/>
      <c r="O188" s="20" t="n"/>
      <c r="P188" s="46" t="inlineStr">
        <is>
          <t>FX Ultra Alçıpan</t>
        </is>
      </c>
      <c r="Q188" s="47" t="n">
        <v>135</v>
      </c>
      <c r="R188" s="26" t="inlineStr">
        <is>
          <t>m²</t>
        </is>
      </c>
      <c r="S188" s="51" t="n"/>
      <c r="T188" s="168" t="n"/>
      <c r="U188" s="169" t="n"/>
      <c r="V188" s="51" t="n"/>
      <c r="W188" s="55" t="n"/>
      <c r="X188" s="1" t="n"/>
    </row>
    <row r="189" ht="28.8" customHeight="1">
      <c r="C189" s="3" t="inlineStr">
        <is>
          <t>169</t>
        </is>
      </c>
      <c r="D189" s="4" t="n">
        <v>46195</v>
      </c>
      <c r="E189" s="5" t="inlineStr">
        <is>
          <t>C5</t>
        </is>
      </c>
      <c r="F189" s="3" t="inlineStr">
        <is>
          <t>0.20</t>
        </is>
      </c>
      <c r="G189" s="6" t="n"/>
      <c r="H189" s="12" t="n">
        <v>1</v>
      </c>
      <c r="I189" s="13" t="n"/>
      <c r="J189" s="13" t="n">
        <v>1</v>
      </c>
      <c r="K189" s="14" t="n"/>
      <c r="L189" s="18" t="n"/>
      <c r="M189" s="19" t="n"/>
      <c r="N189" s="32" t="n"/>
      <c r="O189" s="20" t="n"/>
      <c r="P189" s="46" t="inlineStr">
        <is>
          <t>Suya Dayanıklı Alçıpan</t>
        </is>
      </c>
      <c r="Q189" s="47" t="n">
        <v>16</v>
      </c>
      <c r="R189" s="26" t="inlineStr">
        <is>
          <t>m²</t>
        </is>
      </c>
      <c r="S189" s="51" t="n"/>
      <c r="T189" s="168" t="n"/>
      <c r="U189" s="169" t="n"/>
      <c r="V189" s="51" t="n"/>
      <c r="W189" s="55" t="n"/>
      <c r="X189" s="1" t="n"/>
    </row>
    <row r="190" ht="28.8" customHeight="1">
      <c r="C190" s="3" t="inlineStr">
        <is>
          <t>170</t>
        </is>
      </c>
      <c r="D190" s="4" t="n">
        <v>46195</v>
      </c>
      <c r="E190" s="5" t="inlineStr">
        <is>
          <t>C3</t>
        </is>
      </c>
      <c r="F190" s="3" t="inlineStr">
        <is>
          <t>0.20</t>
        </is>
      </c>
      <c r="G190" s="6" t="n"/>
      <c r="H190" s="12" t="n">
        <v>1</v>
      </c>
      <c r="I190" s="13" t="n"/>
      <c r="J190" s="13" t="n"/>
      <c r="K190" s="14" t="n"/>
      <c r="L190" s="18" t="n"/>
      <c r="M190" s="19" t="n"/>
      <c r="N190" s="32" t="n"/>
      <c r="O190" s="20" t="n"/>
      <c r="P190" s="46" t="n"/>
      <c r="Q190" s="47" t="n"/>
      <c r="R190" s="26" t="n"/>
      <c r="S190" s="51" t="n"/>
      <c r="T190" s="168" t="n"/>
      <c r="U190" s="169" t="n"/>
      <c r="V190" s="51" t="n"/>
      <c r="W190" s="55" t="n"/>
      <c r="X190" s="1" t="n"/>
    </row>
    <row r="191" ht="28.8" customHeight="1">
      <c r="C191" s="3" t="inlineStr">
        <is>
          <t>170A</t>
        </is>
      </c>
      <c r="D191" s="4" t="n">
        <v>46195</v>
      </c>
      <c r="E191" s="5" t="inlineStr">
        <is>
          <t>C3</t>
        </is>
      </c>
      <c r="F191" s="3" t="inlineStr">
        <is>
          <t>0.20</t>
        </is>
      </c>
      <c r="G191" s="6" t="n"/>
      <c r="H191" s="12" t="n">
        <v>2</v>
      </c>
      <c r="I191" s="13" t="n"/>
      <c r="J191" s="13" t="n"/>
      <c r="K191" s="14" t="n"/>
      <c r="L191" s="18" t="n"/>
      <c r="M191" s="19" t="n"/>
      <c r="N191" s="32" t="n"/>
      <c r="O191" s="20" t="n"/>
      <c r="P191" s="46" t="n"/>
      <c r="Q191" s="47" t="n"/>
      <c r="R191" s="26" t="n"/>
      <c r="S191" s="51" t="n"/>
      <c r="T191" s="168" t="n"/>
      <c r="U191" s="169" t="n"/>
      <c r="V191" s="51" t="n"/>
      <c r="W191" s="55" t="n"/>
      <c r="X191" s="1" t="n"/>
    </row>
    <row r="192" ht="28.8" customHeight="1">
      <c r="C192" s="3" t="inlineStr">
        <is>
          <t>171</t>
        </is>
      </c>
      <c r="D192" s="4" t="n">
        <v>46197</v>
      </c>
      <c r="E192" s="5" t="inlineStr">
        <is>
          <t>C3</t>
        </is>
      </c>
      <c r="F192" s="3" t="inlineStr">
        <is>
          <t>MERDİVENLER</t>
        </is>
      </c>
      <c r="G192" s="6" t="n"/>
      <c r="H192" s="12" t="n">
        <v>3</v>
      </c>
      <c r="I192" s="13" t="n"/>
      <c r="J192" s="13" t="n"/>
      <c r="K192" s="14" t="n"/>
      <c r="L192" s="18" t="n"/>
      <c r="M192" s="19" t="n"/>
      <c r="N192" s="32" t="n"/>
      <c r="O192" s="20" t="n"/>
      <c r="P192" s="46" t="n"/>
      <c r="Q192" s="47" t="n"/>
      <c r="R192" s="26" t="n"/>
      <c r="S192" s="51" t="n"/>
      <c r="T192" s="168" t="n"/>
      <c r="U192" s="169" t="n"/>
      <c r="V192" s="51" t="n"/>
      <c r="W192" s="55" t="n"/>
      <c r="X192" s="1" t="n"/>
    </row>
    <row r="193" ht="28.8" customHeight="1">
      <c r="A193" t="inlineStr">
        <is>
          <t>İPTAL</t>
        </is>
      </c>
      <c r="C193" s="3" t="inlineStr">
        <is>
          <t>172</t>
        </is>
      </c>
      <c r="D193" s="4" t="n">
        <v>46196</v>
      </c>
      <c r="E193" s="5" t="inlineStr">
        <is>
          <t>C3</t>
        </is>
      </c>
      <c r="F193" s="3" t="inlineStr">
        <is>
          <t>0.20</t>
        </is>
      </c>
      <c r="G193" s="6" t="n"/>
      <c r="H193" s="12" t="n">
        <v>5</v>
      </c>
      <c r="I193" s="13" t="n"/>
      <c r="J193" s="13" t="n">
        <v>5</v>
      </c>
      <c r="K193" s="14" t="n"/>
      <c r="L193" s="18" t="n"/>
      <c r="M193" s="19" t="n"/>
      <c r="N193" s="32" t="n"/>
      <c r="O193" s="20" t="n"/>
      <c r="P193" s="46" t="inlineStr">
        <is>
          <t>40*40*1.5 mm Kutu Profil</t>
        </is>
      </c>
      <c r="Q193" s="47" t="n">
        <v>174.2</v>
      </c>
      <c r="R193" s="26" t="inlineStr">
        <is>
          <t>m</t>
        </is>
      </c>
      <c r="S193" s="51" t="n"/>
      <c r="T193" s="168" t="n"/>
      <c r="U193" s="169" t="n"/>
      <c r="V193" s="51" t="n"/>
      <c r="W193" s="55" t="n"/>
      <c r="X193" s="1" t="n"/>
    </row>
    <row r="194" ht="28.8" customHeight="1">
      <c r="A194" t="inlineStr">
        <is>
          <t>İPTAL</t>
        </is>
      </c>
      <c r="C194" s="3" t="inlineStr">
        <is>
          <t>173</t>
        </is>
      </c>
      <c r="D194" s="4" t="n">
        <v>46197</v>
      </c>
      <c r="E194" s="5" t="inlineStr">
        <is>
          <t>C5</t>
        </is>
      </c>
      <c r="F194" s="3" t="inlineStr">
        <is>
          <t>0.20</t>
        </is>
      </c>
      <c r="G194" s="6" t="n"/>
      <c r="H194" s="12" t="n">
        <v>5</v>
      </c>
      <c r="I194" s="13" t="n"/>
      <c r="J194" s="13" t="n">
        <v>5</v>
      </c>
      <c r="K194" s="14" t="n"/>
      <c r="L194" s="18" t="n"/>
      <c r="M194" s="19" t="n"/>
      <c r="N194" s="32" t="n"/>
      <c r="O194" s="20" t="n"/>
      <c r="P194" s="46" t="inlineStr">
        <is>
          <t>40*40*1.5 mm Kutu Profil</t>
        </is>
      </c>
      <c r="Q194" s="47" t="n">
        <v>174.2</v>
      </c>
      <c r="R194" s="26" t="inlineStr">
        <is>
          <t>m</t>
        </is>
      </c>
      <c r="S194" s="51" t="n"/>
      <c r="T194" s="168" t="n"/>
      <c r="U194" s="169" t="n"/>
      <c r="V194" s="51" t="n"/>
      <c r="W194" s="55" t="n"/>
      <c r="X194" s="1" t="n"/>
    </row>
    <row r="195" ht="28.8" customHeight="1">
      <c r="C195" s="3" t="inlineStr">
        <is>
          <t>174</t>
        </is>
      </c>
      <c r="D195" s="4" t="n">
        <v>46198</v>
      </c>
      <c r="E195" s="5" t="inlineStr">
        <is>
          <t>C3</t>
        </is>
      </c>
      <c r="F195" s="3" t="inlineStr">
        <is>
          <t>0.20</t>
        </is>
      </c>
      <c r="G195" s="6" t="inlineStr">
        <is>
          <t>YMC03-YMC13-MC03-MC04-MC17-MC18-MC10</t>
        </is>
      </c>
      <c r="H195" s="12" t="n"/>
      <c r="I195" s="13" t="n"/>
      <c r="J195" s="13" t="n"/>
      <c r="K195" s="14" t="n"/>
      <c r="L195" s="18" t="n"/>
      <c r="M195" s="19" t="n"/>
      <c r="N195" s="32" t="n"/>
      <c r="O195" s="20" t="n"/>
      <c r="P195" s="46" t="inlineStr">
        <is>
          <t>1.3.2 Duvarlara Alçı Sıva Yapılması</t>
        </is>
      </c>
      <c r="Q195" s="47" t="n">
        <v>2811.23</v>
      </c>
      <c r="R195" s="26" t="inlineStr">
        <is>
          <t>m²</t>
        </is>
      </c>
      <c r="S195" s="51" t="n"/>
      <c r="T195" s="168" t="n"/>
      <c r="U195" s="169" t="n"/>
      <c r="V195" s="51" t="n"/>
      <c r="W195" s="55" t="n"/>
      <c r="X195" s="1" t="n"/>
    </row>
    <row r="196" ht="28.8" customHeight="1">
      <c r="C196" s="172" t="n"/>
      <c r="D196" s="172" t="n"/>
      <c r="E196" s="172" t="n"/>
      <c r="F196" s="172" t="n"/>
      <c r="G196" s="173" t="n"/>
      <c r="H196" s="171" t="n"/>
      <c r="I196" s="172" t="n"/>
      <c r="J196" s="172" t="n"/>
      <c r="K196" s="173" t="n"/>
      <c r="L196" s="171" t="n"/>
      <c r="M196" s="172" t="n"/>
      <c r="N196" s="175" t="n"/>
      <c r="O196" s="173" t="n"/>
      <c r="P196" s="46" t="inlineStr">
        <is>
          <t>1.3.1 Duvarlara Çimento Esaslı Sıva Yapılması</t>
        </is>
      </c>
      <c r="Q196" s="47" t="n">
        <v>182.65</v>
      </c>
      <c r="R196" s="26" t="inlineStr">
        <is>
          <t>m²</t>
        </is>
      </c>
      <c r="S196" s="51" t="n"/>
      <c r="T196" s="168" t="n"/>
      <c r="U196" s="169" t="n"/>
      <c r="V196" s="51" t="n"/>
      <c r="W196" s="55" t="n"/>
      <c r="X196" s="1" t="n"/>
    </row>
    <row r="197" ht="28.8" customHeight="1">
      <c r="C197" s="3" t="inlineStr">
        <is>
          <t>175</t>
        </is>
      </c>
      <c r="D197" s="4" t="n">
        <v>46202</v>
      </c>
      <c r="E197" s="5" t="inlineStr">
        <is>
          <t>C5</t>
        </is>
      </c>
      <c r="F197" s="3" t="inlineStr">
        <is>
          <t>0.20</t>
        </is>
      </c>
      <c r="G197" s="6" t="inlineStr">
        <is>
          <t>C-Z-104-105-106-107-108-109-125-127</t>
        </is>
      </c>
      <c r="H197" s="12" t="n">
        <v>2</v>
      </c>
      <c r="I197" s="13" t="n"/>
      <c r="J197" s="13" t="n">
        <v>2</v>
      </c>
      <c r="K197" s="14" t="n"/>
      <c r="L197" s="18" t="n"/>
      <c r="M197" s="19" t="n"/>
      <c r="N197" s="32" t="n"/>
      <c r="O197" s="20" t="n"/>
      <c r="P197" s="46" t="n"/>
      <c r="Q197" s="47" t="n"/>
      <c r="R197" s="26" t="n"/>
      <c r="S197" s="51" t="n"/>
      <c r="T197" s="168" t="n"/>
      <c r="U197" s="169" t="n"/>
      <c r="V197" s="51" t="n"/>
      <c r="W197" s="55" t="n"/>
      <c r="X197" s="1" t="n"/>
    </row>
    <row r="198" ht="28.8" customHeight="1">
      <c r="A198" t="inlineStr">
        <is>
          <t>İPTAL</t>
        </is>
      </c>
      <c r="C198" s="3" t="inlineStr">
        <is>
          <t>176</t>
        </is>
      </c>
      <c r="D198" s="4" t="n">
        <v>46202</v>
      </c>
      <c r="E198" s="5" t="inlineStr">
        <is>
          <t>C3</t>
        </is>
      </c>
      <c r="F198" s="3" t="inlineStr">
        <is>
          <t>5.20-10.20-15.20-20.20-25.20</t>
        </is>
      </c>
      <c r="G198" s="6" t="n"/>
      <c r="H198" s="12" t="n">
        <v>2</v>
      </c>
      <c r="I198" s="13" t="n"/>
      <c r="J198" s="13" t="n">
        <v>2</v>
      </c>
      <c r="K198" s="14" t="n"/>
      <c r="L198" s="18" t="n"/>
      <c r="M198" s="19" t="n"/>
      <c r="N198" s="32" t="n"/>
      <c r="O198" s="20" t="n"/>
      <c r="P198" s="46" t="n"/>
      <c r="Q198" s="47" t="n"/>
      <c r="R198" s="26" t="n"/>
      <c r="S198" s="51" t="n"/>
      <c r="T198" s="168" t="n"/>
      <c r="U198" s="169" t="n"/>
      <c r="V198" s="51" t="n"/>
      <c r="W198" s="55" t="n"/>
      <c r="X198" s="1" t="n"/>
    </row>
    <row r="199" ht="28.8" customHeight="1">
      <c r="C199" s="3" t="inlineStr">
        <is>
          <t>177</t>
        </is>
      </c>
      <c r="D199" s="4" t="n">
        <v>46203</v>
      </c>
      <c r="E199" s="5" t="inlineStr">
        <is>
          <t>C3</t>
        </is>
      </c>
      <c r="F199" s="3" t="inlineStr">
        <is>
          <t>15.20</t>
        </is>
      </c>
      <c r="G199" s="6" t="n"/>
      <c r="H199" s="12" t="n">
        <v>4</v>
      </c>
      <c r="I199" s="13" t="n"/>
      <c r="J199" s="13" t="n">
        <v>4</v>
      </c>
      <c r="K199" s="14" t="n"/>
      <c r="L199" s="18" t="n"/>
      <c r="M199" s="19" t="n"/>
      <c r="N199" s="32" t="n"/>
      <c r="O199" s="20" t="n"/>
      <c r="P199" s="46" t="n"/>
      <c r="Q199" s="47" t="n"/>
      <c r="R199" s="26" t="n"/>
      <c r="S199" s="51" t="n"/>
      <c r="T199" s="168" t="n"/>
      <c r="U199" s="169" t="n"/>
      <c r="V199" s="51" t="n"/>
      <c r="W199" s="55" t="n"/>
      <c r="X199" s="1" t="n"/>
    </row>
    <row r="200" ht="28.8" customHeight="1">
      <c r="C200" s="3" t="inlineStr">
        <is>
          <t>178</t>
        </is>
      </c>
      <c r="D200" s="4" t="n">
        <v>46203</v>
      </c>
      <c r="E200" s="5" t="inlineStr">
        <is>
          <t>C6-C7</t>
        </is>
      </c>
      <c r="F200" s="3" t="inlineStr">
        <is>
          <t>-4.80</t>
        </is>
      </c>
      <c r="G200" s="6" t="n"/>
      <c r="H200" s="12" t="n"/>
      <c r="I200" s="13" t="n"/>
      <c r="J200" s="13" t="n">
        <v>3</v>
      </c>
      <c r="K200" s="14" t="n"/>
      <c r="L200" s="18" t="n"/>
      <c r="M200" s="19" t="n"/>
      <c r="N200" s="32" t="n"/>
      <c r="O200" s="20" t="n"/>
      <c r="P200" s="46" t="n"/>
      <c r="Q200" s="47" t="n"/>
      <c r="R200" s="26" t="n"/>
      <c r="S200" s="51" t="n"/>
      <c r="T200" s="168" t="n"/>
      <c r="U200" s="169" t="n"/>
      <c r="V200" s="51" t="n"/>
      <c r="W200" s="55" t="n"/>
      <c r="X200" s="1" t="n"/>
    </row>
    <row r="201" ht="28.8" customHeight="1">
      <c r="C201" s="3" t="inlineStr">
        <is>
          <t>179</t>
        </is>
      </c>
      <c r="D201" s="4" t="n">
        <v>46203</v>
      </c>
      <c r="E201" s="5" t="inlineStr">
        <is>
          <t>C3</t>
        </is>
      </c>
      <c r="F201" s="3" t="inlineStr">
        <is>
          <t>0.20</t>
        </is>
      </c>
      <c r="G201" s="6" t="n"/>
      <c r="H201" s="12" t="n">
        <v>2</v>
      </c>
      <c r="I201" s="13" t="n"/>
      <c r="J201" s="13" t="n">
        <v>2</v>
      </c>
      <c r="K201" s="14" t="n"/>
      <c r="L201" s="18" t="n"/>
      <c r="M201" s="19" t="n"/>
      <c r="N201" s="32" t="n"/>
      <c r="O201" s="20" t="n"/>
      <c r="P201" s="46" t="inlineStr">
        <is>
          <t>FX Ultra Alçıpan</t>
        </is>
      </c>
      <c r="Q201" s="47" t="n">
        <v>36.96</v>
      </c>
      <c r="R201" s="26" t="inlineStr">
        <is>
          <t>m²</t>
        </is>
      </c>
      <c r="S201" s="51" t="n"/>
      <c r="T201" s="168" t="n"/>
      <c r="U201" s="169" t="n"/>
      <c r="V201" s="51" t="n"/>
      <c r="W201" s="55" t="n"/>
      <c r="X201" s="1" t="n"/>
    </row>
    <row r="202" ht="28.8" customHeight="1">
      <c r="C202" s="3" t="inlineStr">
        <is>
          <t>180</t>
        </is>
      </c>
      <c r="D202" s="4" t="n">
        <v>46204</v>
      </c>
      <c r="E202" s="5" t="inlineStr">
        <is>
          <t>C3</t>
        </is>
      </c>
      <c r="F202" s="3" t="inlineStr">
        <is>
          <t>0.20</t>
        </is>
      </c>
      <c r="G202" s="6" t="n"/>
      <c r="H202" s="12" t="n">
        <v>2</v>
      </c>
      <c r="I202" s="13" t="n"/>
      <c r="J202" s="13" t="n">
        <v>2</v>
      </c>
      <c r="K202" s="14" t="n"/>
      <c r="L202" s="18" t="n"/>
      <c r="M202" s="19" t="n"/>
      <c r="N202" s="32" t="n"/>
      <c r="O202" s="20" t="n"/>
      <c r="P202" s="46" t="inlineStr">
        <is>
          <t>FX Ultra Alçıpan</t>
        </is>
      </c>
      <c r="Q202" s="47" t="n">
        <v>34.32</v>
      </c>
      <c r="R202" s="26" t="inlineStr">
        <is>
          <t>m²</t>
        </is>
      </c>
      <c r="S202" s="51" t="n"/>
      <c r="T202" s="168" t="n"/>
      <c r="U202" s="169" t="n"/>
      <c r="V202" s="51" t="n"/>
      <c r="W202" s="55" t="n"/>
      <c r="X202" s="1" t="n"/>
    </row>
    <row r="203" ht="28.8" customHeight="1">
      <c r="C203" s="3" t="inlineStr">
        <is>
          <t>181</t>
        </is>
      </c>
      <c r="D203" s="4" t="n">
        <v>46205</v>
      </c>
      <c r="E203" s="5" t="inlineStr">
        <is>
          <t>C3</t>
        </is>
      </c>
      <c r="F203" s="3" t="inlineStr">
        <is>
          <t>0.20</t>
        </is>
      </c>
      <c r="G203" s="6" t="n"/>
      <c r="H203" s="12" t="n">
        <v>2</v>
      </c>
      <c r="I203" s="13" t="n"/>
      <c r="J203" s="13" t="n">
        <v>2</v>
      </c>
      <c r="K203" s="14" t="n"/>
      <c r="L203" s="18" t="n"/>
      <c r="M203" s="19" t="n"/>
      <c r="N203" s="32" t="n"/>
      <c r="O203" s="20" t="n"/>
      <c r="P203" s="46" t="inlineStr">
        <is>
          <t>FX Ultra Alçıpan</t>
        </is>
      </c>
      <c r="Q203" s="47" t="n">
        <v>26.4</v>
      </c>
      <c r="R203" s="26" t="inlineStr">
        <is>
          <t>m²</t>
        </is>
      </c>
      <c r="S203" s="51" t="n"/>
      <c r="T203" s="168" t="n"/>
      <c r="U203" s="169" t="n"/>
      <c r="V203" s="51" t="n"/>
      <c r="W203" s="55" t="n"/>
      <c r="X203" s="1" t="n"/>
    </row>
    <row r="204" ht="28.8" customHeight="1">
      <c r="C204" s="3" t="inlineStr">
        <is>
          <t>182</t>
        </is>
      </c>
      <c r="D204" s="4" t="n">
        <v>46209</v>
      </c>
      <c r="E204" s="5" t="inlineStr">
        <is>
          <t>C5</t>
        </is>
      </c>
      <c r="F204" s="3" t="inlineStr">
        <is>
          <t>0.20</t>
        </is>
      </c>
      <c r="G204" s="6" t="n"/>
      <c r="H204" s="12" t="n">
        <v>3</v>
      </c>
      <c r="I204" s="13" t="n"/>
      <c r="J204" s="13" t="n">
        <v>2</v>
      </c>
      <c r="K204" s="14" t="n"/>
      <c r="L204" s="18" t="n"/>
      <c r="M204" s="19" t="n"/>
      <c r="N204" s="32" t="n"/>
      <c r="O204" s="20" t="n"/>
      <c r="P204" s="46" t="n"/>
      <c r="Q204" s="47" t="n"/>
      <c r="R204" s="26" t="n"/>
      <c r="S204" s="51" t="n"/>
      <c r="T204" s="168" t="n"/>
      <c r="U204" s="169" t="n"/>
      <c r="V204" s="51" t="n"/>
      <c r="W204" s="55" t="n"/>
      <c r="X204" s="1" t="n"/>
    </row>
    <row r="205" ht="28.8" customHeight="1">
      <c r="C205" s="3" t="inlineStr">
        <is>
          <t>183</t>
        </is>
      </c>
      <c r="D205" s="4" t="n">
        <v>46208</v>
      </c>
      <c r="E205" s="5" t="inlineStr">
        <is>
          <t>C6</t>
        </is>
      </c>
      <c r="F205" s="3" t="inlineStr">
        <is>
          <t>-4.80</t>
        </is>
      </c>
      <c r="G205" s="6" t="n"/>
      <c r="H205" s="12" t="n">
        <v>3</v>
      </c>
      <c r="I205" s="13" t="n"/>
      <c r="J205" s="13" t="n">
        <v>3</v>
      </c>
      <c r="K205" s="14" t="n"/>
      <c r="L205" s="18" t="n"/>
      <c r="M205" s="19" t="n"/>
      <c r="N205" s="32" t="n"/>
      <c r="O205" s="20" t="n"/>
      <c r="P205" s="46" t="inlineStr">
        <is>
          <t>FX Ultra Alçıpan</t>
        </is>
      </c>
      <c r="Q205" s="47" t="n">
        <v>132</v>
      </c>
      <c r="R205" s="26" t="inlineStr">
        <is>
          <t>m²</t>
        </is>
      </c>
      <c r="S205" s="51" t="n"/>
      <c r="T205" s="168" t="n"/>
      <c r="U205" s="169" t="n"/>
      <c r="V205" s="51" t="n"/>
      <c r="W205" s="55" t="n"/>
      <c r="X205" s="1" t="n"/>
    </row>
    <row r="206" ht="28.8" customHeight="1">
      <c r="C206" s="3" t="inlineStr">
        <is>
          <t>184</t>
        </is>
      </c>
      <c r="D206" s="4" t="n">
        <v>46209</v>
      </c>
      <c r="E206" s="5" t="inlineStr">
        <is>
          <t>C6</t>
        </is>
      </c>
      <c r="F206" s="3" t="inlineStr">
        <is>
          <t>-4.80</t>
        </is>
      </c>
      <c r="G206" s="6" t="n"/>
      <c r="H206" s="12" t="n">
        <v>3</v>
      </c>
      <c r="I206" s="13" t="n"/>
      <c r="J206" s="13" t="n">
        <v>3</v>
      </c>
      <c r="K206" s="14" t="n"/>
      <c r="L206" s="18" t="n"/>
      <c r="M206" s="19" t="n"/>
      <c r="N206" s="32" t="n"/>
      <c r="O206" s="20" t="n"/>
      <c r="P206" s="46" t="inlineStr">
        <is>
          <t>FX Ultra Alçıpan</t>
        </is>
      </c>
      <c r="Q206" s="47" t="n">
        <v>118.8</v>
      </c>
      <c r="R206" s="26" t="inlineStr">
        <is>
          <t>m²</t>
        </is>
      </c>
      <c r="S206" s="51" t="n"/>
      <c r="T206" s="168" t="n"/>
      <c r="U206" s="169" t="n"/>
      <c r="V206" s="51" t="n"/>
      <c r="W206" s="55" t="n"/>
      <c r="X206" s="1" t="n"/>
    </row>
    <row r="207" ht="28.8" customHeight="1">
      <c r="C207" s="3" t="inlineStr">
        <is>
          <t>185</t>
        </is>
      </c>
      <c r="D207" s="4" t="n">
        <v>46210</v>
      </c>
      <c r="E207" s="5" t="inlineStr">
        <is>
          <t>C6</t>
        </is>
      </c>
      <c r="F207" s="3" t="inlineStr">
        <is>
          <t>-4.80</t>
        </is>
      </c>
      <c r="G207" s="6" t="n"/>
      <c r="H207" s="12" t="n">
        <v>3</v>
      </c>
      <c r="I207" s="13" t="n"/>
      <c r="J207" s="13" t="n">
        <v>3</v>
      </c>
      <c r="K207" s="14" t="n"/>
      <c r="L207" s="18" t="n"/>
      <c r="M207" s="19" t="n"/>
      <c r="N207" s="32" t="n"/>
      <c r="O207" s="20" t="n"/>
      <c r="P207" s="46" t="inlineStr">
        <is>
          <t>FX Ultra Alçıpan</t>
        </is>
      </c>
      <c r="Q207" s="47" t="n">
        <v>145.2</v>
      </c>
      <c r="R207" s="26" t="inlineStr">
        <is>
          <t>m²</t>
        </is>
      </c>
      <c r="S207" s="51" t="n"/>
      <c r="T207" s="168" t="n"/>
      <c r="U207" s="169" t="n"/>
      <c r="V207" s="51" t="n"/>
      <c r="W207" s="55" t="n"/>
      <c r="X207" s="1" t="n"/>
    </row>
    <row r="208" ht="28.8" customHeight="1">
      <c r="C208" s="3" t="inlineStr">
        <is>
          <t>186</t>
        </is>
      </c>
      <c r="D208" s="4" t="n">
        <v>46210</v>
      </c>
      <c r="E208" s="5" t="inlineStr">
        <is>
          <t>C5</t>
        </is>
      </c>
      <c r="F208" s="3" t="inlineStr">
        <is>
          <t>25.20</t>
        </is>
      </c>
      <c r="G208" s="6" t="n"/>
      <c r="H208" s="12" t="n"/>
      <c r="I208" s="13" t="n"/>
      <c r="J208" s="13" t="n">
        <v>2</v>
      </c>
      <c r="K208" s="14" t="n"/>
      <c r="L208" s="18" t="n"/>
      <c r="M208" s="19" t="n"/>
      <c r="N208" s="32" t="n"/>
      <c r="O208" s="20" t="n"/>
      <c r="P208" s="46" t="n"/>
      <c r="Q208" s="47" t="n"/>
      <c r="R208" s="26" t="n"/>
      <c r="S208" s="51" t="n"/>
      <c r="T208" s="168" t="n"/>
      <c r="U208" s="169" t="n"/>
      <c r="V208" s="51" t="n"/>
      <c r="W208" s="55" t="n"/>
      <c r="X208" s="1" t="n"/>
    </row>
    <row r="209" ht="28.8" customHeight="1">
      <c r="A209" t="inlineStr">
        <is>
          <t>İPTAL</t>
        </is>
      </c>
      <c r="C209" s="3" t="inlineStr">
        <is>
          <t>187</t>
        </is>
      </c>
      <c r="D209" s="4" t="n">
        <v>46210</v>
      </c>
      <c r="E209" s="5" t="inlineStr">
        <is>
          <t>C3</t>
        </is>
      </c>
      <c r="F209" s="3" t="n"/>
      <c r="G209" s="6" t="n"/>
      <c r="H209" s="12" t="n">
        <v>2</v>
      </c>
      <c r="I209" s="13" t="n"/>
      <c r="J209" s="13" t="n">
        <v>2</v>
      </c>
      <c r="K209" s="14" t="n"/>
      <c r="L209" s="18" t="n"/>
      <c r="M209" s="19" t="n"/>
      <c r="N209" s="32" t="n"/>
      <c r="O209" s="20" t="n"/>
      <c r="P209" s="46" t="inlineStr">
        <is>
          <t>80*40 kutu profil</t>
        </is>
      </c>
      <c r="Q209" s="47" t="n">
        <v>60</v>
      </c>
      <c r="R209" s="26" t="inlineStr">
        <is>
          <t>m</t>
        </is>
      </c>
      <c r="S209" s="51" t="n"/>
      <c r="T209" s="168" t="n"/>
      <c r="U209" s="169" t="n"/>
      <c r="V209" s="51" t="n"/>
      <c r="W209" s="55" t="n"/>
      <c r="X209" s="1" t="n"/>
    </row>
    <row r="210" ht="28.8" customHeight="1">
      <c r="C210" s="3" t="inlineStr">
        <is>
          <t>188</t>
        </is>
      </c>
      <c r="D210" s="4" t="n">
        <v>46211</v>
      </c>
      <c r="E210" s="5" t="inlineStr">
        <is>
          <t>C6</t>
        </is>
      </c>
      <c r="F210" s="3" t="inlineStr">
        <is>
          <t>-4.80</t>
        </is>
      </c>
      <c r="G210" s="6" t="n"/>
      <c r="H210" s="12" t="n">
        <v>4</v>
      </c>
      <c r="I210" s="13" t="n"/>
      <c r="J210" s="13" t="n">
        <v>4</v>
      </c>
      <c r="K210" s="14" t="n"/>
      <c r="L210" s="18" t="n"/>
      <c r="M210" s="19" t="n"/>
      <c r="N210" s="32" t="n"/>
      <c r="O210" s="20" t="n"/>
      <c r="P210" s="46" t="inlineStr">
        <is>
          <t>FX Ultra Alçıpan</t>
        </is>
      </c>
      <c r="Q210" s="47" t="n">
        <v>158.4</v>
      </c>
      <c r="R210" s="26" t="inlineStr">
        <is>
          <t>m²</t>
        </is>
      </c>
      <c r="S210" s="51" t="n"/>
      <c r="T210" s="168" t="n"/>
      <c r="U210" s="169" t="n"/>
      <c r="V210" s="51" t="n"/>
      <c r="W210" s="55" t="n"/>
      <c r="X210" s="1" t="n"/>
    </row>
    <row r="211" ht="28.8" customHeight="1">
      <c r="C211" s="3" t="inlineStr">
        <is>
          <t>189</t>
        </is>
      </c>
      <c r="D211" s="4" t="n">
        <v>46212</v>
      </c>
      <c r="E211" s="5" t="inlineStr">
        <is>
          <t>C6</t>
        </is>
      </c>
      <c r="F211" s="3" t="inlineStr">
        <is>
          <t>-4.80</t>
        </is>
      </c>
      <c r="G211" s="6" t="n"/>
      <c r="H211" s="12" t="n">
        <v>4</v>
      </c>
      <c r="I211" s="13" t="n"/>
      <c r="J211" s="13" t="n">
        <v>4</v>
      </c>
      <c r="K211" s="14" t="n"/>
      <c r="L211" s="18" t="n"/>
      <c r="M211" s="19" t="n"/>
      <c r="N211" s="32" t="n"/>
      <c r="O211" s="20" t="n"/>
      <c r="P211" s="46" t="inlineStr">
        <is>
          <t>FX Ultra Alçıpan</t>
        </is>
      </c>
      <c r="Q211" s="47" t="n">
        <v>132</v>
      </c>
      <c r="R211" s="26" t="inlineStr">
        <is>
          <t>m²</t>
        </is>
      </c>
      <c r="S211" s="51" t="n"/>
      <c r="T211" s="168" t="n"/>
      <c r="U211" s="169" t="n"/>
      <c r="V211" s="51" t="n"/>
      <c r="W211" s="55" t="n"/>
      <c r="X211" s="1" t="n"/>
    </row>
    <row r="212" ht="28.8" customHeight="1">
      <c r="C212" s="3" t="inlineStr">
        <is>
          <t>190</t>
        </is>
      </c>
      <c r="D212" s="4" t="n">
        <v>46213</v>
      </c>
      <c r="E212" s="5" t="inlineStr">
        <is>
          <t>C6</t>
        </is>
      </c>
      <c r="F212" s="3" t="inlineStr">
        <is>
          <t>-4.80</t>
        </is>
      </c>
      <c r="G212" s="6" t="n"/>
      <c r="H212" s="12" t="n">
        <v>4</v>
      </c>
      <c r="I212" s="13" t="n"/>
      <c r="J212" s="13" t="n">
        <v>4</v>
      </c>
      <c r="K212" s="14" t="n"/>
      <c r="L212" s="18" t="n"/>
      <c r="M212" s="19" t="n"/>
      <c r="N212" s="32" t="n"/>
      <c r="O212" s="20" t="n"/>
      <c r="P212" s="46" t="inlineStr">
        <is>
          <t>FX Ultra Alçıpan</t>
        </is>
      </c>
      <c r="Q212" s="47" t="n">
        <v>110.88</v>
      </c>
      <c r="R212" s="26" t="inlineStr">
        <is>
          <t>m²</t>
        </is>
      </c>
      <c r="S212" s="51" t="n"/>
      <c r="T212" s="168" t="n"/>
      <c r="U212" s="169" t="n"/>
      <c r="V212" s="51" t="n"/>
      <c r="W212" s="55" t="n"/>
      <c r="X212" s="1" t="n"/>
    </row>
    <row r="213" ht="28.8" customHeight="1">
      <c r="C213" s="3" t="inlineStr">
        <is>
          <t>191</t>
        </is>
      </c>
      <c r="D213" s="4" t="n">
        <v>46213</v>
      </c>
      <c r="E213" s="5" t="inlineStr">
        <is>
          <t>C3</t>
        </is>
      </c>
      <c r="F213" s="3" t="inlineStr">
        <is>
          <t>0.20</t>
        </is>
      </c>
      <c r="G213" s="6" t="n"/>
      <c r="H213" s="12" t="n">
        <v>2</v>
      </c>
      <c r="I213" s="13" t="n"/>
      <c r="J213" s="13" t="n">
        <v>2</v>
      </c>
      <c r="K213" s="14" t="n"/>
      <c r="L213" s="18" t="n"/>
      <c r="M213" s="19" t="n"/>
      <c r="N213" s="32" t="n"/>
      <c r="O213" s="20" t="n"/>
      <c r="P213" s="46" t="inlineStr">
        <is>
          <t>FX Ultra Alçıpan</t>
        </is>
      </c>
      <c r="Q213" s="47" t="n">
        <v>26.4</v>
      </c>
      <c r="R213" s="26" t="inlineStr">
        <is>
          <t>m²</t>
        </is>
      </c>
      <c r="S213" s="51" t="n"/>
      <c r="T213" s="168" t="n"/>
      <c r="U213" s="169" t="n"/>
      <c r="V213" s="51" t="n"/>
      <c r="W213" s="55" t="n"/>
      <c r="X213" s="1" t="n"/>
    </row>
    <row r="214" ht="28.8" customHeight="1">
      <c r="C214" s="3" t="inlineStr">
        <is>
          <t>192</t>
        </is>
      </c>
      <c r="D214" s="4" t="n">
        <v>46214</v>
      </c>
      <c r="E214" s="5" t="inlineStr">
        <is>
          <t>C3</t>
        </is>
      </c>
      <c r="F214" s="3" t="inlineStr">
        <is>
          <t>20.20</t>
        </is>
      </c>
      <c r="G214" s="6" t="n"/>
      <c r="H214" s="12" t="n">
        <v>1</v>
      </c>
      <c r="I214" s="13" t="n"/>
      <c r="J214" s="13" t="n">
        <v>1</v>
      </c>
      <c r="K214" s="14" t="n"/>
      <c r="L214" s="18" t="n"/>
      <c r="M214" s="19" t="n"/>
      <c r="N214" s="32" t="n"/>
      <c r="O214" s="20" t="n"/>
      <c r="P214" s="46" t="inlineStr">
        <is>
          <t>40*40*2 mm Kutu Profil</t>
        </is>
      </c>
      <c r="Q214" s="47" t="n">
        <v>6</v>
      </c>
      <c r="R214" s="26" t="inlineStr">
        <is>
          <t>m</t>
        </is>
      </c>
      <c r="S214" s="51" t="n"/>
      <c r="T214" s="168" t="n"/>
      <c r="U214" s="169" t="n"/>
      <c r="V214" s="51" t="n"/>
      <c r="W214" s="55" t="n"/>
      <c r="X214" s="1" t="n"/>
    </row>
    <row r="215" ht="28.8" customHeight="1">
      <c r="C215" s="3" t="inlineStr">
        <is>
          <t>193</t>
        </is>
      </c>
      <c r="D215" s="4" t="n">
        <v>46214</v>
      </c>
      <c r="E215" s="5" t="inlineStr">
        <is>
          <t>C6</t>
        </is>
      </c>
      <c r="F215" s="3" t="inlineStr">
        <is>
          <t>-4.80</t>
        </is>
      </c>
      <c r="G215" s="6" t="n"/>
      <c r="H215" s="12" t="n">
        <v>4</v>
      </c>
      <c r="I215" s="13" t="n"/>
      <c r="J215" s="13" t="n">
        <v>4</v>
      </c>
      <c r="K215" s="14" t="n"/>
      <c r="L215" s="18" t="n"/>
      <c r="M215" s="19" t="n"/>
      <c r="N215" s="32" t="n"/>
      <c r="O215" s="20" t="n"/>
      <c r="P215" s="46" t="inlineStr">
        <is>
          <t>FX Ultra Alçıpan</t>
        </is>
      </c>
      <c r="Q215" s="47" t="n">
        <v>110.88</v>
      </c>
      <c r="R215" s="26" t="inlineStr">
        <is>
          <t>m²</t>
        </is>
      </c>
      <c r="S215" s="51" t="n"/>
      <c r="T215" s="168" t="n"/>
      <c r="U215" s="169" t="n"/>
      <c r="V215" s="51" t="n"/>
      <c r="W215" s="55" t="n"/>
      <c r="X215" s="1" t="n"/>
    </row>
    <row r="216" ht="28.8" customHeight="1">
      <c r="C216" s="3" t="inlineStr">
        <is>
          <t>194</t>
        </is>
      </c>
      <c r="D216" s="4" t="n">
        <v>46215</v>
      </c>
      <c r="E216" s="5" t="inlineStr">
        <is>
          <t>C6</t>
        </is>
      </c>
      <c r="F216" s="3" t="inlineStr">
        <is>
          <t>-4.80</t>
        </is>
      </c>
      <c r="G216" s="6" t="n"/>
      <c r="H216" s="12" t="n">
        <v>4</v>
      </c>
      <c r="I216" s="13" t="n"/>
      <c r="J216" s="13" t="n">
        <v>4</v>
      </c>
      <c r="K216" s="14" t="n"/>
      <c r="L216" s="18" t="n"/>
      <c r="M216" s="19" t="n"/>
      <c r="N216" s="32" t="n"/>
      <c r="O216" s="20" t="n"/>
      <c r="P216" s="46" t="inlineStr">
        <is>
          <t>FX Ultra Alçıpan</t>
        </is>
      </c>
      <c r="Q216" s="47" t="n">
        <v>126.72</v>
      </c>
      <c r="R216" s="26" t="inlineStr">
        <is>
          <t>m²</t>
        </is>
      </c>
      <c r="S216" s="51" t="n"/>
      <c r="T216" s="168" t="n"/>
      <c r="U216" s="169" t="n"/>
      <c r="V216" s="51" t="n"/>
      <c r="W216" s="55" t="n"/>
      <c r="X216" s="1" t="n"/>
    </row>
    <row r="217" ht="28.8" customHeight="1">
      <c r="C217" s="3" t="inlineStr">
        <is>
          <t>195</t>
        </is>
      </c>
      <c r="D217" s="4" t="n">
        <v>46216</v>
      </c>
      <c r="E217" s="5" t="inlineStr">
        <is>
          <t>C6</t>
        </is>
      </c>
      <c r="F217" s="3" t="inlineStr">
        <is>
          <t>-4.80</t>
        </is>
      </c>
      <c r="G217" s="6" t="n"/>
      <c r="H217" s="12" t="n">
        <v>4</v>
      </c>
      <c r="I217" s="13" t="n"/>
      <c r="J217" s="13" t="n">
        <v>4</v>
      </c>
      <c r="K217" s="14" t="n"/>
      <c r="L217" s="18" t="n"/>
      <c r="M217" s="19" t="n"/>
      <c r="N217" s="32" t="n"/>
      <c r="O217" s="20" t="n"/>
      <c r="P217" s="46" t="inlineStr">
        <is>
          <t>FX Ultra Alçıpan</t>
        </is>
      </c>
      <c r="Q217" s="47" t="n">
        <v>126.72</v>
      </c>
      <c r="R217" s="26" t="inlineStr">
        <is>
          <t>m²</t>
        </is>
      </c>
      <c r="S217" s="51" t="n"/>
      <c r="T217" s="168" t="n"/>
      <c r="U217" s="169" t="n"/>
      <c r="V217" s="51" t="n"/>
      <c r="W217" s="55" t="n"/>
      <c r="X217" s="1" t="n"/>
    </row>
    <row r="218" ht="28.8" customHeight="1">
      <c r="C218" s="3" t="inlineStr">
        <is>
          <t>196</t>
        </is>
      </c>
      <c r="D218" s="4" t="n">
        <v>46217</v>
      </c>
      <c r="E218" s="5" t="inlineStr">
        <is>
          <t>C6</t>
        </is>
      </c>
      <c r="F218" s="3" t="inlineStr">
        <is>
          <t>-4.80</t>
        </is>
      </c>
      <c r="G218" s="6" t="n"/>
      <c r="H218" s="12" t="n">
        <v>4</v>
      </c>
      <c r="I218" s="13" t="n"/>
      <c r="J218" s="13" t="n">
        <v>4</v>
      </c>
      <c r="K218" s="14" t="n"/>
      <c r="L218" s="18" t="n"/>
      <c r="M218" s="19" t="n"/>
      <c r="N218" s="32" t="n"/>
      <c r="O218" s="20" t="n"/>
      <c r="P218" s="46" t="inlineStr">
        <is>
          <t>FX Ultra Alçıpan</t>
        </is>
      </c>
      <c r="Q218" s="47" t="n">
        <v>126.72</v>
      </c>
      <c r="R218" s="26" t="inlineStr">
        <is>
          <t>m²</t>
        </is>
      </c>
      <c r="S218" s="51" t="n"/>
      <c r="T218" s="168" t="n"/>
      <c r="U218" s="169" t="n"/>
      <c r="V218" s="51" t="n"/>
      <c r="W218" s="55" t="n"/>
      <c r="X218" s="1" t="n"/>
    </row>
    <row r="219" ht="28.8" customHeight="1">
      <c r="C219" s="3" t="inlineStr">
        <is>
          <t>197</t>
        </is>
      </c>
      <c r="D219" s="4" t="n">
        <v>46217</v>
      </c>
      <c r="E219" s="5" t="inlineStr">
        <is>
          <t>C5</t>
        </is>
      </c>
      <c r="F219" s="3" t="inlineStr">
        <is>
          <t>0.20</t>
        </is>
      </c>
      <c r="G219" s="6" t="n"/>
      <c r="H219" s="12" t="n">
        <v>2</v>
      </c>
      <c r="I219" s="13" t="n"/>
      <c r="J219" s="13" t="n">
        <v>2</v>
      </c>
      <c r="K219" s="14" t="n"/>
      <c r="L219" s="18" t="n"/>
      <c r="M219" s="19" t="n"/>
      <c r="N219" s="32" t="n"/>
      <c r="O219" s="20" t="n"/>
      <c r="P219" s="46" t="n"/>
      <c r="Q219" s="47" t="n"/>
      <c r="R219" s="26" t="n"/>
      <c r="S219" s="51" t="n"/>
      <c r="T219" s="168" t="n"/>
      <c r="U219" s="169" t="n"/>
      <c r="V219" s="51" t="n"/>
      <c r="W219" s="55" t="n"/>
      <c r="X219" s="1" t="n"/>
    </row>
    <row r="220" ht="28.8" customHeight="1">
      <c r="C220" s="3" t="inlineStr">
        <is>
          <t>198</t>
        </is>
      </c>
      <c r="D220" s="4" t="n">
        <v>46218</v>
      </c>
      <c r="E220" s="5" t="inlineStr">
        <is>
          <t>C6</t>
        </is>
      </c>
      <c r="F220" s="3" t="inlineStr">
        <is>
          <t>-4.80</t>
        </is>
      </c>
      <c r="G220" s="6" t="n"/>
      <c r="H220" s="12" t="n">
        <v>4</v>
      </c>
      <c r="I220" s="13" t="n"/>
      <c r="J220" s="13" t="n">
        <v>4</v>
      </c>
      <c r="K220" s="14" t="n"/>
      <c r="L220" s="18" t="n"/>
      <c r="M220" s="19" t="n"/>
      <c r="N220" s="32" t="n"/>
      <c r="O220" s="20" t="n"/>
      <c r="P220" s="46" t="inlineStr">
        <is>
          <t>FX Ultra Alçıpan</t>
        </is>
      </c>
      <c r="Q220" s="47" t="n">
        <v>110.88</v>
      </c>
      <c r="R220" s="26" t="inlineStr">
        <is>
          <t>m²</t>
        </is>
      </c>
      <c r="S220" s="51" t="n"/>
      <c r="T220" s="168" t="n"/>
      <c r="U220" s="169" t="n"/>
      <c r="V220" s="51" t="n"/>
      <c r="W220" s="55" t="n"/>
      <c r="X220" s="1" t="n"/>
    </row>
    <row r="221" ht="28.8" customHeight="1">
      <c r="C221" s="3" t="inlineStr">
        <is>
          <t>199</t>
        </is>
      </c>
      <c r="D221" s="4" t="n">
        <v>46219</v>
      </c>
      <c r="E221" s="5" t="inlineStr">
        <is>
          <t>C6</t>
        </is>
      </c>
      <c r="F221" s="3" t="inlineStr">
        <is>
          <t>-4.80</t>
        </is>
      </c>
      <c r="G221" s="6" t="n"/>
      <c r="H221" s="12" t="n">
        <v>4</v>
      </c>
      <c r="I221" s="13" t="n"/>
      <c r="J221" s="13" t="n">
        <v>4</v>
      </c>
      <c r="K221" s="14" t="n"/>
      <c r="L221" s="18" t="n"/>
      <c r="M221" s="19" t="n"/>
      <c r="N221" s="32" t="n"/>
      <c r="O221" s="20" t="n"/>
      <c r="P221" s="46" t="inlineStr">
        <is>
          <t>FX Ultra Alçıpan</t>
        </is>
      </c>
      <c r="Q221" s="47" t="n">
        <v>121.44</v>
      </c>
      <c r="R221" s="26" t="inlineStr">
        <is>
          <t>m²</t>
        </is>
      </c>
      <c r="S221" s="51" t="n"/>
      <c r="T221" s="168" t="n"/>
      <c r="U221" s="169" t="n"/>
      <c r="V221" s="51" t="n"/>
      <c r="W221" s="55" t="n"/>
      <c r="X221" s="1" t="n"/>
    </row>
    <row r="222" ht="28.8" customHeight="1">
      <c r="C222" s="3" t="inlineStr">
        <is>
          <t>200</t>
        </is>
      </c>
      <c r="D222" s="4" t="n">
        <v>46219</v>
      </c>
      <c r="E222" s="5" t="inlineStr">
        <is>
          <t>C5</t>
        </is>
      </c>
      <c r="F222" s="3" t="inlineStr">
        <is>
          <t>5.20</t>
        </is>
      </c>
      <c r="G222" s="6" t="n"/>
      <c r="H222" s="12" t="n">
        <v>3</v>
      </c>
      <c r="I222" s="13" t="n"/>
      <c r="J222" s="13" t="n">
        <v>3</v>
      </c>
      <c r="K222" s="14" t="n"/>
      <c r="L222" s="18" t="n"/>
      <c r="M222" s="19" t="n"/>
      <c r="N222" s="32" t="n"/>
      <c r="O222" s="20" t="n"/>
      <c r="P222" s="46" t="inlineStr">
        <is>
          <t>FX Ultra Alçıpan</t>
        </is>
      </c>
      <c r="Q222" s="47" t="n">
        <v>42.24</v>
      </c>
      <c r="R222" s="26" t="inlineStr">
        <is>
          <t>m²</t>
        </is>
      </c>
      <c r="S222" s="51" t="n"/>
      <c r="T222" s="168" t="n"/>
      <c r="U222" s="169" t="n"/>
      <c r="V222" s="51" t="n"/>
      <c r="W222" s="55" t="n"/>
      <c r="X222" s="1" t="n"/>
    </row>
    <row r="223" ht="28.8" customHeight="1">
      <c r="C223" s="3" t="inlineStr">
        <is>
          <t>201</t>
        </is>
      </c>
      <c r="D223" s="4" t="n">
        <v>46218</v>
      </c>
      <c r="E223" s="5" t="inlineStr">
        <is>
          <t>C5</t>
        </is>
      </c>
      <c r="F223" s="3" t="inlineStr">
        <is>
          <t>5.20</t>
        </is>
      </c>
      <c r="G223" s="6" t="n"/>
      <c r="H223" s="12" t="n"/>
      <c r="I223" s="13" t="n"/>
      <c r="J223" s="13" t="n"/>
      <c r="K223" s="14" t="n"/>
      <c r="L223" s="18" t="n"/>
      <c r="M223" s="19" t="n"/>
      <c r="N223" s="32" t="n"/>
      <c r="O223" s="20" t="n"/>
      <c r="P223" s="46" t="inlineStr">
        <is>
          <t>30*130 metal asma tavan</t>
        </is>
      </c>
      <c r="Q223" s="47" t="n">
        <v>11.7</v>
      </c>
      <c r="R223" s="26" t="inlineStr">
        <is>
          <t>m²</t>
        </is>
      </c>
      <c r="S223" s="51" t="n"/>
      <c r="T223" s="168" t="n"/>
      <c r="U223" s="169" t="n"/>
      <c r="V223" s="51" t="n"/>
      <c r="W223" s="55" t="n"/>
      <c r="X223" s="1" t="n"/>
    </row>
    <row r="224" ht="28.8" customHeight="1">
      <c r="C224" s="3" t="inlineStr">
        <is>
          <t>202</t>
        </is>
      </c>
      <c r="D224" s="4" t="n">
        <v>46219</v>
      </c>
      <c r="E224" s="5" t="inlineStr">
        <is>
          <t>C5</t>
        </is>
      </c>
      <c r="F224" s="3" t="inlineStr">
        <is>
          <t>0.20</t>
        </is>
      </c>
      <c r="G224" s="6" t="n"/>
      <c r="H224" s="12" t="n">
        <v>2</v>
      </c>
      <c r="I224" s="13" t="n"/>
      <c r="J224" s="13" t="n">
        <v>2</v>
      </c>
      <c r="K224" s="14" t="n"/>
      <c r="L224" s="18" t="n"/>
      <c r="M224" s="19" t="n"/>
      <c r="N224" s="32" t="n"/>
      <c r="O224" s="20" t="n"/>
      <c r="P224" s="46" t="inlineStr">
        <is>
          <t>FX Ultra Alçıpan</t>
        </is>
      </c>
      <c r="Q224" s="47" t="n">
        <v>26.4</v>
      </c>
      <c r="R224" s="26" t="inlineStr">
        <is>
          <t>m²</t>
        </is>
      </c>
      <c r="S224" s="51" t="n"/>
      <c r="T224" s="168" t="n"/>
      <c r="U224" s="169" t="n"/>
      <c r="V224" s="51" t="n"/>
      <c r="W224" s="55" t="n"/>
      <c r="X224" s="1" t="n"/>
    </row>
    <row r="225" ht="28.8" customHeight="1">
      <c r="C225" s="3" t="inlineStr">
        <is>
          <t>203</t>
        </is>
      </c>
      <c r="D225" s="4" t="n">
        <v>46220</v>
      </c>
      <c r="E225" s="5" t="inlineStr">
        <is>
          <t>C5</t>
        </is>
      </c>
      <c r="F225" s="3" t="inlineStr">
        <is>
          <t>0.20</t>
        </is>
      </c>
      <c r="G225" s="6" t="n"/>
      <c r="H225" s="12" t="n">
        <v>3</v>
      </c>
      <c r="I225" s="13" t="n"/>
      <c r="J225" s="13" t="n">
        <v>3</v>
      </c>
      <c r="K225" s="14" t="n"/>
      <c r="L225" s="18" t="n"/>
      <c r="M225" s="19" t="n"/>
      <c r="N225" s="32" t="n"/>
      <c r="O225" s="20" t="n"/>
      <c r="P225" s="46" t="inlineStr">
        <is>
          <t>FX Ultra Alçıpan</t>
        </is>
      </c>
      <c r="Q225" s="47" t="n">
        <v>34.32</v>
      </c>
      <c r="R225" s="26" t="inlineStr">
        <is>
          <t>m²</t>
        </is>
      </c>
      <c r="S225" s="51" t="n"/>
      <c r="T225" s="168" t="n"/>
      <c r="U225" s="169" t="n"/>
      <c r="V225" s="51" t="n"/>
      <c r="W225" s="55" t="n"/>
      <c r="X225" s="1" t="n"/>
    </row>
    <row r="226" ht="28.8" customHeight="1">
      <c r="C226" s="3" t="inlineStr">
        <is>
          <t>204</t>
        </is>
      </c>
      <c r="D226" s="4" t="n">
        <v>46220</v>
      </c>
      <c r="E226" s="5" t="inlineStr">
        <is>
          <t>C6</t>
        </is>
      </c>
      <c r="F226" s="3" t="inlineStr">
        <is>
          <t>-4.80</t>
        </is>
      </c>
      <c r="G226" s="6" t="n"/>
      <c r="H226" s="12" t="n">
        <v>4</v>
      </c>
      <c r="I226" s="13" t="n"/>
      <c r="J226" s="13" t="n">
        <v>4</v>
      </c>
      <c r="K226" s="14" t="n"/>
      <c r="L226" s="18" t="n"/>
      <c r="M226" s="19" t="n"/>
      <c r="N226" s="32" t="n"/>
      <c r="O226" s="20" t="n"/>
      <c r="P226" s="46" t="inlineStr">
        <is>
          <t>FX Ultra Alçıpan</t>
        </is>
      </c>
      <c r="Q226" s="47" t="n">
        <v>134.64</v>
      </c>
      <c r="R226" s="26" t="inlineStr">
        <is>
          <t>m²</t>
        </is>
      </c>
      <c r="S226" s="51" t="n"/>
      <c r="T226" s="168" t="n"/>
      <c r="U226" s="169" t="n"/>
      <c r="V226" s="51" t="n"/>
      <c r="W226" s="55" t="n"/>
      <c r="X226" s="1" t="n"/>
    </row>
    <row r="227" ht="28.8" customHeight="1">
      <c r="A227" t="inlineStr">
        <is>
          <t>İPTAL</t>
        </is>
      </c>
      <c r="C227" s="3" t="inlineStr">
        <is>
          <t>205</t>
        </is>
      </c>
      <c r="D227" s="4" t="n">
        <v>46221</v>
      </c>
      <c r="E227" s="5" t="inlineStr">
        <is>
          <t>C5</t>
        </is>
      </c>
      <c r="F227" s="3" t="inlineStr">
        <is>
          <t>YMC15 MERDİVENİ</t>
        </is>
      </c>
      <c r="G227" s="6" t="n"/>
      <c r="H227" s="12" t="n">
        <v>3</v>
      </c>
      <c r="I227" s="13" t="n"/>
      <c r="J227" s="13" t="n"/>
      <c r="K227" s="14" t="n"/>
      <c r="L227" s="18" t="n"/>
      <c r="M227" s="19" t="n"/>
      <c r="N227" s="32" t="n"/>
      <c r="O227" s="20" t="n"/>
      <c r="P227" s="46" t="n"/>
      <c r="Q227" s="47" t="n"/>
      <c r="R227" s="26" t="n"/>
      <c r="S227" s="51" t="n"/>
      <c r="T227" s="168" t="n"/>
      <c r="U227" s="169" t="n"/>
      <c r="V227" s="51" t="n"/>
      <c r="W227" s="55" t="n"/>
      <c r="X227" s="1" t="n"/>
    </row>
    <row r="228" ht="28.8" customHeight="1">
      <c r="C228" s="3" t="inlineStr">
        <is>
          <t>206</t>
        </is>
      </c>
      <c r="D228" s="4" t="n">
        <v>46221</v>
      </c>
      <c r="E228" s="5" t="inlineStr">
        <is>
          <t>C6</t>
        </is>
      </c>
      <c r="F228" s="3" t="inlineStr">
        <is>
          <t>-4.80</t>
        </is>
      </c>
      <c r="G228" s="6" t="n"/>
      <c r="H228" s="12" t="n">
        <v>4</v>
      </c>
      <c r="I228" s="13" t="n"/>
      <c r="J228" s="13" t="n">
        <v>4</v>
      </c>
      <c r="K228" s="14" t="n"/>
      <c r="L228" s="18" t="n"/>
      <c r="M228" s="19" t="n"/>
      <c r="N228" s="32" t="n"/>
      <c r="O228" s="20" t="n"/>
      <c r="P228" s="46" t="inlineStr">
        <is>
          <t>FX Ultra Alçıpan</t>
        </is>
      </c>
      <c r="Q228" s="47" t="n">
        <v>145.2</v>
      </c>
      <c r="R228" s="26" t="inlineStr">
        <is>
          <t>m²</t>
        </is>
      </c>
      <c r="S228" s="51" t="n"/>
      <c r="T228" s="168" t="n"/>
      <c r="U228" s="169" t="n"/>
      <c r="V228" s="51" t="n"/>
      <c r="W228" s="55" t="n"/>
      <c r="X228" s="1" t="n"/>
    </row>
    <row r="229" ht="28.8" customHeight="1">
      <c r="C229" s="3" t="inlineStr">
        <is>
          <t>207</t>
        </is>
      </c>
      <c r="D229" s="4" t="n">
        <v>46221</v>
      </c>
      <c r="E229" s="5" t="inlineStr">
        <is>
          <t>C5</t>
        </is>
      </c>
      <c r="F229" s="3" t="inlineStr">
        <is>
          <t>0.20</t>
        </is>
      </c>
      <c r="G229" s="6" t="n"/>
      <c r="H229" s="12" t="n">
        <v>3</v>
      </c>
      <c r="I229" s="13" t="n"/>
      <c r="J229" s="13" t="n">
        <v>3</v>
      </c>
      <c r="K229" s="14" t="n"/>
      <c r="L229" s="18" t="n"/>
      <c r="M229" s="19" t="n"/>
      <c r="N229" s="32" t="n"/>
      <c r="O229" s="20" t="n"/>
      <c r="P229" s="46" t="inlineStr">
        <is>
          <t>FX Ultra Alçıpan</t>
        </is>
      </c>
      <c r="Q229" s="47" t="n">
        <v>34.32</v>
      </c>
      <c r="R229" s="26" t="inlineStr">
        <is>
          <t>m²</t>
        </is>
      </c>
      <c r="S229" s="51" t="n"/>
      <c r="T229" s="168" t="n"/>
      <c r="U229" s="169" t="n"/>
      <c r="V229" s="51" t="n"/>
      <c r="W229" s="55" t="n"/>
      <c r="X229" s="1" t="n"/>
    </row>
    <row r="230" ht="28.8" customHeight="1">
      <c r="C230" s="3" t="inlineStr">
        <is>
          <t>208</t>
        </is>
      </c>
      <c r="D230" s="4" t="n">
        <v>46222</v>
      </c>
      <c r="E230" s="5" t="inlineStr">
        <is>
          <t>C6</t>
        </is>
      </c>
      <c r="F230" s="3" t="inlineStr">
        <is>
          <t>-4.80</t>
        </is>
      </c>
      <c r="G230" s="6" t="n"/>
      <c r="H230" s="12" t="n">
        <v>4</v>
      </c>
      <c r="I230" s="13" t="n"/>
      <c r="J230" s="13" t="n">
        <v>4</v>
      </c>
      <c r="K230" s="14" t="n"/>
      <c r="L230" s="18" t="n"/>
      <c r="M230" s="19" t="n"/>
      <c r="N230" s="32" t="n"/>
      <c r="O230" s="20" t="n"/>
      <c r="P230" s="46" t="inlineStr">
        <is>
          <t>FX Ultra Alçıpan</t>
        </is>
      </c>
      <c r="Q230" s="47" t="n">
        <v>145.2</v>
      </c>
      <c r="R230" s="26" t="inlineStr">
        <is>
          <t>m²</t>
        </is>
      </c>
      <c r="S230" s="51" t="n"/>
      <c r="T230" s="168" t="n"/>
      <c r="U230" s="169" t="n"/>
      <c r="V230" s="51" t="n"/>
      <c r="W230" s="55" t="n"/>
      <c r="X230" s="1" t="n"/>
    </row>
    <row r="231" ht="28.8" customHeight="1">
      <c r="C231" s="3" t="inlineStr">
        <is>
          <t>209</t>
        </is>
      </c>
      <c r="D231" s="4" t="n">
        <v>46222</v>
      </c>
      <c r="E231" s="5" t="inlineStr">
        <is>
          <t>C5</t>
        </is>
      </c>
      <c r="F231" s="3" t="inlineStr">
        <is>
          <t>0.20</t>
        </is>
      </c>
      <c r="G231" s="6" t="n"/>
      <c r="H231" s="12" t="n">
        <v>3</v>
      </c>
      <c r="I231" s="13" t="n"/>
      <c r="J231" s="13" t="n">
        <v>3</v>
      </c>
      <c r="K231" s="14" t="n"/>
      <c r="L231" s="18" t="n"/>
      <c r="M231" s="19" t="n"/>
      <c r="N231" s="32" t="n"/>
      <c r="O231" s="20" t="n"/>
      <c r="P231" s="46" t="inlineStr">
        <is>
          <t>FX Ultra Alçıpan</t>
        </is>
      </c>
      <c r="Q231" s="47" t="n">
        <v>31.68</v>
      </c>
      <c r="R231" s="26" t="inlineStr">
        <is>
          <t>m²</t>
        </is>
      </c>
      <c r="S231" s="51" t="n"/>
      <c r="T231" s="168" t="n"/>
      <c r="U231" s="169" t="n"/>
      <c r="V231" s="51" t="n"/>
      <c r="W231" s="55" t="n"/>
      <c r="X231" s="1" t="n"/>
    </row>
    <row r="232" ht="28.8" customHeight="1">
      <c r="C232" s="172" t="n"/>
      <c r="D232" s="172" t="n"/>
      <c r="E232" s="172" t="n"/>
      <c r="F232" s="172" t="n"/>
      <c r="G232" s="173" t="n"/>
      <c r="H232" s="171" t="n"/>
      <c r="I232" s="172" t="n"/>
      <c r="J232" s="172" t="n"/>
      <c r="K232" s="173" t="n"/>
      <c r="L232" s="171" t="n"/>
      <c r="M232" s="172" t="n"/>
      <c r="N232" s="175" t="n"/>
      <c r="O232" s="173" t="n"/>
      <c r="P232" s="46" t="inlineStr">
        <is>
          <t>WR ALÇIPANEL</t>
        </is>
      </c>
      <c r="Q232" s="47" t="n">
        <v>13.2</v>
      </c>
      <c r="R232" s="26" t="inlineStr">
        <is>
          <t>m²</t>
        </is>
      </c>
      <c r="S232" s="51" t="n"/>
      <c r="T232" s="168" t="n"/>
      <c r="U232" s="169" t="n"/>
      <c r="V232" s="51" t="n"/>
      <c r="W232" s="55" t="n"/>
      <c r="X232" s="1" t="n"/>
    </row>
    <row r="233" ht="28.8" customHeight="1">
      <c r="C233" s="3" t="inlineStr">
        <is>
          <t>210</t>
        </is>
      </c>
      <c r="D233" s="4" t="n">
        <v>46223</v>
      </c>
      <c r="E233" s="5" t="inlineStr">
        <is>
          <t>C6</t>
        </is>
      </c>
      <c r="F233" s="3" t="inlineStr">
        <is>
          <t>-4.80</t>
        </is>
      </c>
      <c r="G233" s="6" t="n"/>
      <c r="H233" s="12" t="n">
        <v>4</v>
      </c>
      <c r="I233" s="13" t="n"/>
      <c r="J233" s="13" t="n">
        <v>4</v>
      </c>
      <c r="K233" s="14" t="n"/>
      <c r="L233" s="18" t="n"/>
      <c r="M233" s="19" t="n"/>
      <c r="N233" s="32" t="n"/>
      <c r="O233" s="20" t="n"/>
      <c r="P233" s="46" t="inlineStr">
        <is>
          <t>FX Ultra Alçıpan</t>
        </is>
      </c>
      <c r="Q233" s="47" t="n">
        <v>145.2</v>
      </c>
      <c r="R233" s="26" t="inlineStr">
        <is>
          <t>m²</t>
        </is>
      </c>
      <c r="S233" s="51" t="n"/>
      <c r="T233" s="168" t="n"/>
      <c r="U233" s="169" t="n"/>
      <c r="V233" s="51" t="n"/>
      <c r="W233" s="55" t="n"/>
      <c r="X233" s="1" t="n"/>
    </row>
    <row r="234" ht="28.8" customHeight="1">
      <c r="C234" s="3" t="inlineStr">
        <is>
          <t>211</t>
        </is>
      </c>
      <c r="D234" s="4" t="n">
        <v>46224</v>
      </c>
      <c r="E234" s="5" t="inlineStr">
        <is>
          <t>C5</t>
        </is>
      </c>
      <c r="F234" s="3" t="inlineStr">
        <is>
          <t>20 NOLU CEPHE</t>
        </is>
      </c>
      <c r="G234" s="6" t="n"/>
      <c r="H234" s="12" t="n">
        <v>1</v>
      </c>
      <c r="I234" s="13" t="n"/>
      <c r="J234" s="13" t="n">
        <v>1</v>
      </c>
      <c r="K234" s="14" t="n"/>
      <c r="L234" s="18" t="n"/>
      <c r="M234" s="19" t="n"/>
      <c r="N234" s="32" t="n"/>
      <c r="O234" s="20" t="n"/>
      <c r="P234" s="46" t="n"/>
      <c r="Q234" s="47" t="n"/>
      <c r="R234" s="26" t="n"/>
      <c r="S234" s="51" t="n"/>
      <c r="T234" s="168" t="n"/>
      <c r="U234" s="169" t="n"/>
      <c r="V234" s="51" t="n"/>
      <c r="W234" s="55" t="n"/>
      <c r="X234" s="1" t="n"/>
    </row>
    <row r="235" ht="28.8" customHeight="1">
      <c r="C235" s="3" t="inlineStr">
        <is>
          <t>212</t>
        </is>
      </c>
      <c r="D235" s="4" t="n">
        <v>46224</v>
      </c>
      <c r="E235" s="5" t="inlineStr">
        <is>
          <t>C6</t>
        </is>
      </c>
      <c r="F235" s="3" t="inlineStr">
        <is>
          <t>-4.80</t>
        </is>
      </c>
      <c r="G235" s="6" t="n"/>
      <c r="H235" s="12" t="n">
        <v>4</v>
      </c>
      <c r="I235" s="13" t="n"/>
      <c r="J235" s="13" t="n">
        <v>4</v>
      </c>
      <c r="K235" s="14" t="n"/>
      <c r="L235" s="18" t="n"/>
      <c r="M235" s="19" t="n"/>
      <c r="N235" s="32" t="n"/>
      <c r="O235" s="20" t="n"/>
      <c r="P235" s="46" t="inlineStr">
        <is>
          <t>FX Ultra Alçıpan</t>
        </is>
      </c>
      <c r="Q235" s="47" t="n">
        <v>116.16</v>
      </c>
      <c r="R235" s="26" t="inlineStr">
        <is>
          <t>m²</t>
        </is>
      </c>
      <c r="S235" s="51" t="n"/>
      <c r="T235" s="168" t="n"/>
      <c r="U235" s="169" t="n"/>
      <c r="V235" s="51" t="n"/>
      <c r="W235" s="55" t="n"/>
      <c r="X235" s="1" t="n"/>
    </row>
    <row r="236" ht="28.8" customHeight="1">
      <c r="C236" s="3" t="inlineStr">
        <is>
          <t>213</t>
        </is>
      </c>
      <c r="D236" s="4" t="n">
        <v>46224</v>
      </c>
      <c r="E236" s="5" t="inlineStr">
        <is>
          <t>C5</t>
        </is>
      </c>
      <c r="F236" s="3" t="inlineStr">
        <is>
          <t>0.20</t>
        </is>
      </c>
      <c r="G236" s="6" t="n"/>
      <c r="H236" s="12" t="n">
        <v>2</v>
      </c>
      <c r="I236" s="13" t="n"/>
      <c r="J236" s="13" t="n">
        <v>2</v>
      </c>
      <c r="K236" s="14" t="n"/>
      <c r="L236" s="18" t="n"/>
      <c r="M236" s="19" t="n"/>
      <c r="N236" s="32" t="n"/>
      <c r="O236" s="20" t="n"/>
      <c r="P236" s="46" t="inlineStr">
        <is>
          <t>FX Ultra Alçıpan</t>
        </is>
      </c>
      <c r="Q236" s="47" t="n">
        <v>13.2</v>
      </c>
      <c r="R236" s="26" t="inlineStr">
        <is>
          <t>m²</t>
        </is>
      </c>
      <c r="S236" s="51" t="n"/>
      <c r="T236" s="168" t="n"/>
      <c r="U236" s="169" t="n"/>
      <c r="V236" s="51" t="n"/>
      <c r="W236" s="55" t="n"/>
      <c r="X236" s="1" t="n"/>
    </row>
    <row r="237" ht="28.8" customHeight="1">
      <c r="C237" s="3" t="inlineStr">
        <is>
          <t>214</t>
        </is>
      </c>
      <c r="D237" s="4" t="n">
        <v>46224</v>
      </c>
      <c r="E237" s="5" t="inlineStr">
        <is>
          <t>C3</t>
        </is>
      </c>
      <c r="F237" s="3" t="inlineStr">
        <is>
          <t>0.20</t>
        </is>
      </c>
      <c r="G237" s="6" t="n"/>
      <c r="H237" s="12" t="n">
        <v>2</v>
      </c>
      <c r="I237" s="13" t="n"/>
      <c r="J237" s="13" t="n">
        <v>2</v>
      </c>
      <c r="K237" s="14" t="n"/>
      <c r="L237" s="18" t="n"/>
      <c r="M237" s="19" t="n"/>
      <c r="N237" s="32" t="n"/>
      <c r="O237" s="20" t="n"/>
      <c r="P237" s="46" t="n"/>
      <c r="Q237" s="47" t="n"/>
      <c r="R237" s="26" t="n"/>
      <c r="S237" s="51" t="n"/>
      <c r="T237" s="168" t="n"/>
      <c r="U237" s="169" t="n"/>
      <c r="V237" s="51" t="n"/>
      <c r="W237" s="55" t="n"/>
      <c r="X237" s="1" t="n"/>
    </row>
    <row r="238" ht="28.8" customHeight="1">
      <c r="C238" s="3" t="inlineStr">
        <is>
          <t>215</t>
        </is>
      </c>
      <c r="D238" s="4" t="n">
        <v>46225</v>
      </c>
      <c r="E238" s="5" t="inlineStr">
        <is>
          <t>C5</t>
        </is>
      </c>
      <c r="F238" s="3" t="inlineStr">
        <is>
          <t>0.20</t>
        </is>
      </c>
      <c r="G238" s="6" t="n"/>
      <c r="H238" s="12" t="n">
        <v>3</v>
      </c>
      <c r="I238" s="13" t="n"/>
      <c r="J238" s="13" t="n">
        <v>3</v>
      </c>
      <c r="K238" s="14" t="n"/>
      <c r="L238" s="18" t="n"/>
      <c r="M238" s="19" t="n"/>
      <c r="N238" s="32" t="n"/>
      <c r="O238" s="20" t="n"/>
      <c r="P238" s="46" t="inlineStr">
        <is>
          <t>FX Ultra Alçıpan</t>
        </is>
      </c>
      <c r="Q238" s="47" t="n">
        <v>31.68</v>
      </c>
      <c r="R238" s="26" t="inlineStr">
        <is>
          <t>m²</t>
        </is>
      </c>
      <c r="S238" s="51" t="n"/>
      <c r="T238" s="168" t="n"/>
      <c r="U238" s="169" t="n"/>
      <c r="V238" s="51" t="n"/>
      <c r="W238" s="55" t="n"/>
      <c r="X238" s="1" t="n"/>
    </row>
    <row r="239" ht="28.8" customHeight="1">
      <c r="C239" s="172" t="n"/>
      <c r="D239" s="172" t="n"/>
      <c r="E239" s="172" t="n"/>
      <c r="F239" s="172" t="n"/>
      <c r="G239" s="173" t="n"/>
      <c r="H239" s="171" t="n"/>
      <c r="I239" s="172" t="n"/>
      <c r="J239" s="172" t="n"/>
      <c r="K239" s="173" t="n"/>
      <c r="L239" s="171" t="n"/>
      <c r="M239" s="172" t="n"/>
      <c r="N239" s="175" t="n"/>
      <c r="O239" s="173" t="n"/>
      <c r="P239" s="46" t="inlineStr">
        <is>
          <t>WR ALÇIPANEL</t>
        </is>
      </c>
      <c r="Q239" s="47" t="n">
        <v>13.2</v>
      </c>
      <c r="R239" s="26" t="inlineStr">
        <is>
          <t>m²</t>
        </is>
      </c>
      <c r="S239" s="51" t="n"/>
      <c r="T239" s="168" t="n"/>
      <c r="U239" s="169" t="n"/>
      <c r="V239" s="51" t="n"/>
      <c r="W239" s="55" t="n"/>
      <c r="X239" s="1" t="n"/>
    </row>
    <row r="240" ht="28.8" customHeight="1">
      <c r="C240" s="3" t="inlineStr">
        <is>
          <t>216</t>
        </is>
      </c>
      <c r="D240" s="4" t="n">
        <v>46225</v>
      </c>
      <c r="E240" s="5" t="inlineStr">
        <is>
          <t>C6</t>
        </is>
      </c>
      <c r="F240" s="3" t="inlineStr">
        <is>
          <t>-4.80</t>
        </is>
      </c>
      <c r="G240" s="6" t="n"/>
      <c r="H240" s="12" t="n">
        <v>4</v>
      </c>
      <c r="I240" s="13" t="n"/>
      <c r="J240" s="13" t="n">
        <v>4</v>
      </c>
      <c r="K240" s="14" t="n"/>
      <c r="L240" s="18" t="n"/>
      <c r="M240" s="19" t="n"/>
      <c r="N240" s="32" t="n"/>
      <c r="O240" s="20" t="n"/>
      <c r="P240" s="46" t="inlineStr">
        <is>
          <t>FX Ultra Alçıpan</t>
        </is>
      </c>
      <c r="Q240" s="47" t="n">
        <v>113.52</v>
      </c>
      <c r="R240" s="26" t="inlineStr">
        <is>
          <t>m²</t>
        </is>
      </c>
      <c r="S240" s="51" t="n"/>
      <c r="T240" s="168" t="n"/>
      <c r="U240" s="169" t="n"/>
      <c r="V240" s="51" t="n"/>
      <c r="W240" s="55" t="n"/>
      <c r="X240" s="1" t="n"/>
    </row>
    <row r="241" ht="28.8" customHeight="1">
      <c r="C241" s="3" t="inlineStr">
        <is>
          <t>217</t>
        </is>
      </c>
      <c r="D241" s="4" t="n">
        <v>46225</v>
      </c>
      <c r="E241" s="5" t="inlineStr">
        <is>
          <t>C3</t>
        </is>
      </c>
      <c r="F241" s="3" t="inlineStr">
        <is>
          <t>15.20</t>
        </is>
      </c>
      <c r="G241" s="6" t="n"/>
      <c r="H241" s="12" t="n"/>
      <c r="I241" s="13" t="n"/>
      <c r="J241" s="13" t="n">
        <v>4</v>
      </c>
      <c r="K241" s="14" t="n"/>
      <c r="L241" s="18" t="n"/>
      <c r="M241" s="19" t="n"/>
      <c r="N241" s="32" t="n"/>
      <c r="O241" s="20" t="n"/>
      <c r="P241" s="46" t="n"/>
      <c r="Q241" s="47" t="n"/>
      <c r="R241" s="26" t="n"/>
      <c r="S241" s="51" t="n"/>
      <c r="T241" s="168" t="n"/>
      <c r="U241" s="169" t="n"/>
      <c r="V241" s="51" t="n"/>
      <c r="W241" s="55" t="n"/>
      <c r="X241" s="1" t="n"/>
    </row>
    <row r="242" ht="28.8" customHeight="1">
      <c r="A242" t="inlineStr">
        <is>
          <t>İPTAL</t>
        </is>
      </c>
      <c r="C242" s="3" t="inlineStr">
        <is>
          <t>218</t>
        </is>
      </c>
      <c r="D242" s="4" t="n">
        <v>46225</v>
      </c>
      <c r="E242" s="5" t="inlineStr">
        <is>
          <t>C5</t>
        </is>
      </c>
      <c r="F242" s="3" t="inlineStr">
        <is>
          <t>0.20</t>
        </is>
      </c>
      <c r="G242" s="6" t="n"/>
      <c r="H242" s="12" t="n">
        <v>2</v>
      </c>
      <c r="I242" s="13" t="n"/>
      <c r="J242" s="13" t="n">
        <v>2</v>
      </c>
      <c r="K242" s="14" t="n"/>
      <c r="L242" s="18" t="n"/>
      <c r="M242" s="19" t="n"/>
      <c r="N242" s="32" t="n"/>
      <c r="O242" s="20" t="n"/>
      <c r="P242" s="46" t="inlineStr">
        <is>
          <t>FX Ultra Alçıpan</t>
        </is>
      </c>
      <c r="Q242" s="47" t="n">
        <v>47.52</v>
      </c>
      <c r="R242" s="26" t="inlineStr">
        <is>
          <t>m²</t>
        </is>
      </c>
      <c r="S242" s="51" t="n"/>
      <c r="T242" s="168" t="n"/>
      <c r="U242" s="169" t="n"/>
      <c r="V242" s="51" t="n"/>
      <c r="W242" s="55" t="n"/>
      <c r="X242" s="1" t="n"/>
    </row>
    <row r="243" ht="28.8" customHeight="1">
      <c r="C243" s="3" t="inlineStr">
        <is>
          <t>219</t>
        </is>
      </c>
      <c r="D243" s="4" t="n">
        <v>46226</v>
      </c>
      <c r="E243" s="5" t="inlineStr">
        <is>
          <t>C6</t>
        </is>
      </c>
      <c r="F243" s="3" t="inlineStr">
        <is>
          <t>-4.80</t>
        </is>
      </c>
      <c r="G243" s="6" t="n"/>
      <c r="H243" s="12" t="n">
        <v>4</v>
      </c>
      <c r="I243" s="13" t="n"/>
      <c r="J243" s="13" t="n">
        <v>4</v>
      </c>
      <c r="K243" s="14" t="n"/>
      <c r="L243" s="18" t="n"/>
      <c r="M243" s="19" t="n"/>
      <c r="N243" s="32" t="n"/>
      <c r="O243" s="20" t="n"/>
      <c r="P243" s="46" t="inlineStr">
        <is>
          <t>FX Ultra Alçıpan</t>
        </is>
      </c>
      <c r="Q243" s="47" t="n">
        <v>113.52</v>
      </c>
      <c r="R243" s="26" t="inlineStr">
        <is>
          <t>m²</t>
        </is>
      </c>
      <c r="S243" s="51" t="n"/>
      <c r="T243" s="168" t="n"/>
      <c r="U243" s="169" t="n"/>
      <c r="V243" s="51" t="n"/>
      <c r="W243" s="55" t="n"/>
      <c r="X243" s="1" t="n"/>
    </row>
    <row r="244" ht="28.8" customHeight="1">
      <c r="C244" s="3" t="inlineStr">
        <is>
          <t>220</t>
        </is>
      </c>
      <c r="D244" s="4" t="n">
        <v>46227</v>
      </c>
      <c r="E244" s="5" t="inlineStr">
        <is>
          <t>C3</t>
        </is>
      </c>
      <c r="F244" s="3" t="inlineStr">
        <is>
          <t>10.20</t>
        </is>
      </c>
      <c r="G244" s="6" t="n"/>
      <c r="H244" s="12" t="n">
        <v>1</v>
      </c>
      <c r="I244" s="13" t="n"/>
      <c r="J244" s="13" t="n">
        <v>1</v>
      </c>
      <c r="K244" s="14" t="n"/>
      <c r="L244" s="18" t="n"/>
      <c r="M244" s="19" t="n"/>
      <c r="N244" s="32" t="n"/>
      <c r="O244" s="20" t="n"/>
      <c r="P244" s="46" t="inlineStr">
        <is>
          <t>FX Ultra Alçıpan</t>
        </is>
      </c>
      <c r="Q244" s="47" t="n">
        <v>10.56</v>
      </c>
      <c r="R244" s="26" t="inlineStr">
        <is>
          <t>m²</t>
        </is>
      </c>
      <c r="S244" s="51" t="n"/>
      <c r="T244" s="168" t="n"/>
      <c r="U244" s="169" t="n"/>
      <c r="V244" s="51" t="n"/>
      <c r="W244" s="55" t="n"/>
      <c r="X244" s="1" t="n"/>
    </row>
    <row r="245" ht="28.8" customHeight="1">
      <c r="C245" s="3" t="inlineStr">
        <is>
          <t>221</t>
        </is>
      </c>
      <c r="D245" s="4" t="n">
        <v>46227</v>
      </c>
      <c r="E245" s="5" t="inlineStr">
        <is>
          <t>C6</t>
        </is>
      </c>
      <c r="F245" s="3" t="inlineStr">
        <is>
          <t>-4.80</t>
        </is>
      </c>
      <c r="G245" s="6" t="n"/>
      <c r="H245" s="12" t="n">
        <v>4</v>
      </c>
      <c r="I245" s="13" t="n"/>
      <c r="J245" s="13" t="n">
        <v>4</v>
      </c>
      <c r="K245" s="14" t="n"/>
      <c r="L245" s="18" t="n"/>
      <c r="M245" s="19" t="n"/>
      <c r="N245" s="32" t="n"/>
      <c r="O245" s="20" t="n"/>
      <c r="P245" s="46" t="inlineStr">
        <is>
          <t>FX Ultra Alçıpan</t>
        </is>
      </c>
      <c r="Q245" s="47" t="n">
        <v>129.36</v>
      </c>
      <c r="R245" s="26" t="inlineStr">
        <is>
          <t>m²</t>
        </is>
      </c>
      <c r="S245" s="51" t="n"/>
      <c r="T245" s="168" t="n"/>
      <c r="U245" s="169" t="n"/>
      <c r="V245" s="51" t="n"/>
      <c r="W245" s="55" t="n"/>
      <c r="X245" s="1" t="n"/>
    </row>
    <row r="246" ht="28.8" customHeight="1">
      <c r="C246" s="3" t="inlineStr">
        <is>
          <t>222</t>
        </is>
      </c>
      <c r="D246" s="4" t="n">
        <v>46228</v>
      </c>
      <c r="E246" s="5" t="inlineStr">
        <is>
          <t>C6</t>
        </is>
      </c>
      <c r="F246" s="3" t="inlineStr">
        <is>
          <t>-4.80</t>
        </is>
      </c>
      <c r="G246" s="6" t="n"/>
      <c r="H246" s="12" t="n">
        <v>4</v>
      </c>
      <c r="I246" s="13" t="n"/>
      <c r="J246" s="13" t="n">
        <v>4</v>
      </c>
      <c r="K246" s="14" t="n"/>
      <c r="L246" s="18" t="n"/>
      <c r="M246" s="19" t="n"/>
      <c r="N246" s="32" t="n"/>
      <c r="O246" s="20" t="n"/>
      <c r="P246" s="46" t="inlineStr">
        <is>
          <t>FX Ultra Alçıpan</t>
        </is>
      </c>
      <c r="Q246" s="47" t="n">
        <v>121.44</v>
      </c>
      <c r="R246" s="26" t="inlineStr">
        <is>
          <t>m²</t>
        </is>
      </c>
      <c r="S246" s="51" t="n"/>
      <c r="T246" s="168" t="n"/>
      <c r="U246" s="169" t="n"/>
      <c r="V246" s="51" t="n"/>
      <c r="W246" s="55" t="n"/>
      <c r="X246" s="1" t="n"/>
    </row>
    <row r="247" ht="28.8" customHeight="1">
      <c r="C247" s="3" t="inlineStr">
        <is>
          <t>223</t>
        </is>
      </c>
      <c r="D247" s="4" t="n">
        <v>46229</v>
      </c>
      <c r="E247" s="5" t="inlineStr">
        <is>
          <t>C6</t>
        </is>
      </c>
      <c r="F247" s="3" t="inlineStr">
        <is>
          <t>-4.80</t>
        </is>
      </c>
      <c r="G247" s="6" t="n"/>
      <c r="H247" s="12" t="n">
        <v>4</v>
      </c>
      <c r="I247" s="13" t="n"/>
      <c r="J247" s="13" t="n">
        <v>4</v>
      </c>
      <c r="K247" s="14" t="n"/>
      <c r="L247" s="18" t="n"/>
      <c r="M247" s="19" t="n"/>
      <c r="N247" s="32" t="n"/>
      <c r="O247" s="20" t="n"/>
      <c r="P247" s="46" t="inlineStr">
        <is>
          <t>FX Ultra Alçıpan</t>
        </is>
      </c>
      <c r="Q247" s="47" t="n">
        <v>113.52</v>
      </c>
      <c r="R247" s="26" t="inlineStr">
        <is>
          <t>m²</t>
        </is>
      </c>
      <c r="S247" s="51" t="n"/>
      <c r="T247" s="168" t="n"/>
      <c r="U247" s="169" t="n"/>
      <c r="V247" s="51" t="n"/>
      <c r="W247" s="55" t="n"/>
      <c r="X247" s="1" t="n"/>
    </row>
    <row r="248" ht="28.8" customHeight="1">
      <c r="C248" s="3" t="inlineStr">
        <is>
          <t>224</t>
        </is>
      </c>
      <c r="D248" s="4" t="n">
        <v>46230</v>
      </c>
      <c r="E248" s="5" t="inlineStr">
        <is>
          <t>C6</t>
        </is>
      </c>
      <c r="F248" s="3" t="inlineStr">
        <is>
          <t>-4.80</t>
        </is>
      </c>
      <c r="G248" s="6" t="n"/>
      <c r="H248" s="12" t="n">
        <v>5</v>
      </c>
      <c r="I248" s="13" t="n"/>
      <c r="J248" s="13" t="n">
        <v>5</v>
      </c>
      <c r="K248" s="14" t="n"/>
      <c r="L248" s="18" t="n"/>
      <c r="M248" s="19" t="n"/>
      <c r="N248" s="32" t="n"/>
      <c r="O248" s="20" t="n"/>
      <c r="P248" s="46" t="inlineStr">
        <is>
          <t>FX Ultra Alçıpan</t>
        </is>
      </c>
      <c r="Q248" s="47" t="n">
        <v>153.12</v>
      </c>
      <c r="R248" s="26" t="inlineStr">
        <is>
          <t>m²</t>
        </is>
      </c>
      <c r="S248" s="51" t="n"/>
      <c r="T248" s="168" t="n"/>
      <c r="U248" s="169" t="n"/>
      <c r="V248" s="51" t="n"/>
      <c r="W248" s="55" t="n"/>
      <c r="X248" s="1" t="n"/>
    </row>
    <row r="249" ht="28.8" customHeight="1">
      <c r="C249" s="3" t="inlineStr">
        <is>
          <t>225</t>
        </is>
      </c>
      <c r="D249" s="4" t="n">
        <v>46230</v>
      </c>
      <c r="E249" s="5" t="inlineStr">
        <is>
          <t>C5</t>
        </is>
      </c>
      <c r="F249" s="3" t="inlineStr">
        <is>
          <t>0.20</t>
        </is>
      </c>
      <c r="G249" s="6" t="n"/>
      <c r="H249" s="12" t="n">
        <v>2</v>
      </c>
      <c r="I249" s="13" t="n"/>
      <c r="J249" s="13" t="n"/>
      <c r="K249" s="14" t="n"/>
      <c r="L249" s="18" t="n"/>
      <c r="M249" s="19" t="n"/>
      <c r="N249" s="32" t="n"/>
      <c r="O249" s="20" t="n"/>
      <c r="P249" s="46" t="n"/>
      <c r="Q249" s="47" t="n"/>
      <c r="R249" s="26" t="n"/>
      <c r="S249" s="51" t="n"/>
      <c r="T249" s="168" t="n"/>
      <c r="U249" s="169" t="n"/>
      <c r="V249" s="51" t="n"/>
      <c r="W249" s="55" t="n"/>
      <c r="X249" s="1" t="n"/>
    </row>
    <row r="250" ht="28.8" customHeight="1">
      <c r="C250" s="3" t="inlineStr">
        <is>
          <t>226</t>
        </is>
      </c>
      <c r="D250" s="4" t="n">
        <v>46231</v>
      </c>
      <c r="E250" s="5" t="inlineStr">
        <is>
          <t>C6</t>
        </is>
      </c>
      <c r="F250" s="3" t="inlineStr">
        <is>
          <t>-4.80</t>
        </is>
      </c>
      <c r="G250" s="6" t="n"/>
      <c r="H250" s="12" t="n">
        <v>5</v>
      </c>
      <c r="I250" s="13" t="n"/>
      <c r="J250" s="13" t="n">
        <v>5</v>
      </c>
      <c r="K250" s="14" t="n"/>
      <c r="L250" s="18" t="n"/>
      <c r="M250" s="19" t="n"/>
      <c r="N250" s="32" t="n"/>
      <c r="O250" s="20" t="n"/>
      <c r="P250" s="46" t="inlineStr">
        <is>
          <t>FX Ultra Alçıpan</t>
        </is>
      </c>
      <c r="Q250" s="47" t="n">
        <v>153.12</v>
      </c>
      <c r="R250" s="26" t="inlineStr">
        <is>
          <t>m²</t>
        </is>
      </c>
      <c r="S250" s="51" t="n"/>
      <c r="T250" s="168" t="n"/>
      <c r="U250" s="169" t="n"/>
      <c r="V250" s="51" t="n"/>
      <c r="W250" s="55" t="n"/>
      <c r="X250" s="1" t="n"/>
    </row>
    <row r="251" ht="28.8" customHeight="1">
      <c r="C251" s="3" t="inlineStr">
        <is>
          <t>227</t>
        </is>
      </c>
      <c r="D251" s="4" t="n">
        <v>46231</v>
      </c>
      <c r="E251" s="5" t="inlineStr">
        <is>
          <t>C5</t>
        </is>
      </c>
      <c r="F251" s="3" t="inlineStr">
        <is>
          <t>0.20</t>
        </is>
      </c>
      <c r="G251" s="6" t="n"/>
      <c r="H251" s="12" t="n">
        <v>2</v>
      </c>
      <c r="I251" s="13" t="n"/>
      <c r="J251" s="13" t="n">
        <v>2</v>
      </c>
      <c r="K251" s="14" t="n"/>
      <c r="L251" s="18" t="n"/>
      <c r="M251" s="19" t="n"/>
      <c r="N251" s="32" t="n"/>
      <c r="O251" s="20" t="n"/>
      <c r="P251" s="46" t="n"/>
      <c r="Q251" s="47" t="n"/>
      <c r="R251" s="26" t="n"/>
      <c r="S251" s="51" t="n"/>
      <c r="T251" s="168" t="n"/>
      <c r="U251" s="169" t="n"/>
      <c r="V251" s="51" t="n"/>
      <c r="W251" s="55" t="n"/>
      <c r="X251" s="1" t="n"/>
    </row>
    <row r="252" ht="28.8" customHeight="1">
      <c r="C252" s="3" t="inlineStr">
        <is>
          <t>228</t>
        </is>
      </c>
      <c r="D252" s="4" t="n">
        <v>46231</v>
      </c>
      <c r="E252" s="5" t="inlineStr">
        <is>
          <t>C5</t>
        </is>
      </c>
      <c r="F252" s="3" t="inlineStr">
        <is>
          <t>0.20</t>
        </is>
      </c>
      <c r="G252" s="6" t="n"/>
      <c r="H252" s="12" t="n">
        <v>2</v>
      </c>
      <c r="I252" s="13" t="n"/>
      <c r="J252" s="13" t="n">
        <v>2</v>
      </c>
      <c r="K252" s="14" t="n"/>
      <c r="L252" s="18" t="n"/>
      <c r="M252" s="19" t="n"/>
      <c r="N252" s="32" t="n"/>
      <c r="O252" s="20" t="n"/>
      <c r="P252" s="46" t="inlineStr">
        <is>
          <t>FX Ultra Alçıpan</t>
        </is>
      </c>
      <c r="Q252" s="47" t="n">
        <v>18.48</v>
      </c>
      <c r="R252" s="26" t="inlineStr">
        <is>
          <t>m²</t>
        </is>
      </c>
      <c r="S252" s="51" t="n"/>
      <c r="T252" s="168" t="n"/>
      <c r="U252" s="169" t="n"/>
      <c r="V252" s="51" t="n"/>
      <c r="W252" s="55" t="n"/>
      <c r="X252" s="1" t="n"/>
    </row>
    <row r="253" ht="28.8" customHeight="1">
      <c r="C253" s="3" t="inlineStr">
        <is>
          <t>229</t>
        </is>
      </c>
      <c r="D253" s="4" t="n">
        <v>46232</v>
      </c>
      <c r="E253" s="5" t="inlineStr">
        <is>
          <t>C6</t>
        </is>
      </c>
      <c r="F253" s="3" t="inlineStr">
        <is>
          <t>-4.80</t>
        </is>
      </c>
      <c r="G253" s="6" t="n"/>
      <c r="H253" s="12" t="n">
        <v>5</v>
      </c>
      <c r="I253" s="13" t="n"/>
      <c r="J253" s="13" t="n">
        <v>5</v>
      </c>
      <c r="K253" s="14" t="n"/>
      <c r="L253" s="18" t="n"/>
      <c r="M253" s="19" t="n"/>
      <c r="N253" s="32" t="n"/>
      <c r="O253" s="20" t="n"/>
      <c r="P253" s="46" t="inlineStr">
        <is>
          <t>FX Ultra Alçıpan</t>
        </is>
      </c>
      <c r="Q253" s="47" t="n">
        <v>142.56</v>
      </c>
      <c r="R253" s="26" t="inlineStr">
        <is>
          <t>m²</t>
        </is>
      </c>
      <c r="S253" s="51" t="n"/>
      <c r="T253" s="168" t="n"/>
      <c r="U253" s="169" t="n"/>
      <c r="V253" s="51" t="n"/>
      <c r="W253" s="55" t="n"/>
      <c r="X253" s="1" t="n"/>
    </row>
    <row r="254" ht="28.8" customHeight="1">
      <c r="A254" t="inlineStr">
        <is>
          <t>İPTAL</t>
        </is>
      </c>
      <c r="C254" s="3" t="inlineStr">
        <is>
          <t>230</t>
        </is>
      </c>
      <c r="D254" s="4" t="n">
        <v>46232</v>
      </c>
      <c r="E254" s="5" t="inlineStr">
        <is>
          <t>C5</t>
        </is>
      </c>
      <c r="F254" s="3" t="inlineStr">
        <is>
          <t>0.20</t>
        </is>
      </c>
      <c r="G254" s="6" t="n"/>
      <c r="H254" s="12" t="n">
        <v>2</v>
      </c>
      <c r="I254" s="13" t="n"/>
      <c r="J254" s="13" t="n">
        <v>2</v>
      </c>
      <c r="K254" s="14" t="n"/>
      <c r="L254" s="18" t="n"/>
      <c r="M254" s="19" t="n"/>
      <c r="N254" s="32" t="n"/>
      <c r="O254" s="20" t="n"/>
      <c r="P254" s="46" t="inlineStr">
        <is>
          <t>FX Ultra Alçıpan</t>
        </is>
      </c>
      <c r="Q254" s="47" t="n">
        <v>23.76</v>
      </c>
      <c r="R254" s="26" t="inlineStr">
        <is>
          <t>m²</t>
        </is>
      </c>
      <c r="S254" s="51" t="n"/>
      <c r="T254" s="168" t="n"/>
      <c r="U254" s="169" t="n"/>
      <c r="V254" s="51" t="n"/>
      <c r="W254" s="55" t="n"/>
      <c r="X254" s="1" t="n"/>
    </row>
    <row r="255" ht="28.8" customHeight="1">
      <c r="C255" s="3" t="inlineStr">
        <is>
          <t>231</t>
        </is>
      </c>
      <c r="D255" s="4" t="n">
        <v>46233</v>
      </c>
      <c r="E255" s="5" t="inlineStr">
        <is>
          <t>C6</t>
        </is>
      </c>
      <c r="F255" s="3" t="inlineStr">
        <is>
          <t>-4.80</t>
        </is>
      </c>
      <c r="G255" s="6" t="n"/>
      <c r="H255" s="12" t="n">
        <v>3</v>
      </c>
      <c r="I255" s="13" t="n"/>
      <c r="J255" s="13" t="n">
        <v>3</v>
      </c>
      <c r="K255" s="14" t="n"/>
      <c r="L255" s="18" t="n"/>
      <c r="M255" s="19" t="n"/>
      <c r="N255" s="32" t="n"/>
      <c r="O255" s="20" t="n"/>
      <c r="P255" s="46" t="inlineStr">
        <is>
          <t>FX Ultra Alçıpan</t>
        </is>
      </c>
      <c r="Q255" s="47" t="n">
        <v>105.6</v>
      </c>
      <c r="R255" s="26" t="inlineStr">
        <is>
          <t>m²</t>
        </is>
      </c>
      <c r="S255" s="51" t="n"/>
      <c r="T255" s="168" t="n"/>
      <c r="U255" s="169" t="n"/>
      <c r="V255" s="51" t="n"/>
      <c r="W255" s="55" t="n"/>
      <c r="X255" s="1" t="n"/>
    </row>
    <row r="256" ht="28.8" customHeight="1">
      <c r="C256" s="3" t="inlineStr">
        <is>
          <t>232</t>
        </is>
      </c>
      <c r="D256" s="4" t="n">
        <v>46233</v>
      </c>
      <c r="E256" s="5" t="inlineStr">
        <is>
          <t>C7</t>
        </is>
      </c>
      <c r="F256" s="3" t="inlineStr">
        <is>
          <t>-4.80</t>
        </is>
      </c>
      <c r="G256" s="6" t="n"/>
      <c r="H256" s="12" t="n">
        <v>2</v>
      </c>
      <c r="I256" s="13" t="n"/>
      <c r="J256" s="13" t="n">
        <v>2</v>
      </c>
      <c r="K256" s="14" t="n"/>
      <c r="L256" s="18" t="n"/>
      <c r="M256" s="19" t="n"/>
      <c r="N256" s="32" t="n"/>
      <c r="O256" s="20" t="n"/>
      <c r="P256" s="46" t="inlineStr">
        <is>
          <t>15 cm gazbeton</t>
        </is>
      </c>
      <c r="Q256" s="47" t="n">
        <v>8.5</v>
      </c>
      <c r="R256" s="26" t="inlineStr">
        <is>
          <t>m²</t>
        </is>
      </c>
      <c r="S256" s="51" t="n"/>
      <c r="T256" s="168" t="n"/>
      <c r="U256" s="169" t="n"/>
      <c r="V256" s="51" t="n"/>
      <c r="W256" s="55" t="n"/>
      <c r="X256" s="1" t="n"/>
    </row>
    <row r="257" ht="28.8" customHeight="1">
      <c r="C257" s="3" t="inlineStr">
        <is>
          <t>233</t>
        </is>
      </c>
      <c r="D257" s="4" t="n">
        <v>46234</v>
      </c>
      <c r="E257" s="5" t="inlineStr">
        <is>
          <t>C6</t>
        </is>
      </c>
      <c r="F257" s="3" t="inlineStr">
        <is>
          <t>-4.80</t>
        </is>
      </c>
      <c r="G257" s="6" t="n"/>
      <c r="H257" s="12" t="n">
        <v>3</v>
      </c>
      <c r="I257" s="13" t="n"/>
      <c r="J257" s="13" t="n">
        <v>3</v>
      </c>
      <c r="K257" s="14" t="n"/>
      <c r="L257" s="18" t="n"/>
      <c r="M257" s="19" t="n"/>
      <c r="N257" s="32" t="n"/>
      <c r="O257" s="20" t="n"/>
      <c r="P257" s="46" t="inlineStr">
        <is>
          <t>FX Ultra Alçıpan</t>
        </is>
      </c>
      <c r="Q257" s="47" t="n">
        <v>47.52</v>
      </c>
      <c r="R257" s="26" t="inlineStr">
        <is>
          <t>m²</t>
        </is>
      </c>
      <c r="S257" s="51" t="n"/>
      <c r="T257" s="168" t="n"/>
      <c r="U257" s="169" t="n"/>
      <c r="V257" s="51" t="n"/>
      <c r="W257" s="55" t="n"/>
      <c r="X257" s="1" t="n"/>
    </row>
    <row r="258" ht="28.8" customHeight="1">
      <c r="C258" s="3" t="inlineStr">
        <is>
          <t>234</t>
        </is>
      </c>
      <c r="D258" s="4" t="n">
        <v>46237</v>
      </c>
      <c r="E258" s="5" t="inlineStr">
        <is>
          <t>C6</t>
        </is>
      </c>
      <c r="F258" s="3" t="inlineStr">
        <is>
          <t>-4.80</t>
        </is>
      </c>
      <c r="G258" s="6" t="n"/>
      <c r="H258" s="12" t="n">
        <v>3</v>
      </c>
      <c r="I258" s="13" t="n"/>
      <c r="J258" s="13" t="n">
        <v>3</v>
      </c>
      <c r="K258" s="14" t="n"/>
      <c r="L258" s="18" t="n"/>
      <c r="M258" s="19" t="n"/>
      <c r="N258" s="32" t="n"/>
      <c r="O258" s="20" t="n"/>
      <c r="P258" s="46" t="inlineStr">
        <is>
          <t>FX Ultra Alçıpan</t>
        </is>
      </c>
      <c r="Q258" s="47" t="n">
        <v>47.52</v>
      </c>
      <c r="R258" s="26" t="inlineStr">
        <is>
          <t>m²</t>
        </is>
      </c>
      <c r="S258" s="51" t="n"/>
      <c r="T258" s="168" t="n"/>
      <c r="U258" s="169" t="n"/>
      <c r="V258" s="51" t="n"/>
      <c r="W258" s="55" t="n"/>
      <c r="X258" s="1" t="n"/>
    </row>
    <row r="259" ht="28.8" customHeight="1">
      <c r="C259" s="3" t="inlineStr">
        <is>
          <t>235</t>
        </is>
      </c>
      <c r="D259" s="4" t="n">
        <v>46238</v>
      </c>
      <c r="E259" s="5" t="inlineStr">
        <is>
          <t>C6</t>
        </is>
      </c>
      <c r="F259" s="3" t="inlineStr">
        <is>
          <t>-4.80</t>
        </is>
      </c>
      <c r="G259" s="6" t="n"/>
      <c r="H259" s="12" t="n">
        <v>3</v>
      </c>
      <c r="I259" s="13" t="n"/>
      <c r="J259" s="13" t="n">
        <v>3</v>
      </c>
      <c r="K259" s="14" t="n"/>
      <c r="L259" s="18" t="n"/>
      <c r="M259" s="19" t="n"/>
      <c r="N259" s="32" t="n"/>
      <c r="O259" s="20" t="n"/>
      <c r="P259" s="46" t="inlineStr">
        <is>
          <t>FX Ultra Alçıpan</t>
        </is>
      </c>
      <c r="Q259" s="47" t="n">
        <v>66</v>
      </c>
      <c r="R259" s="26" t="inlineStr">
        <is>
          <t>m²</t>
        </is>
      </c>
      <c r="S259" s="51" t="n"/>
      <c r="T259" s="168" t="n"/>
      <c r="U259" s="169" t="n"/>
      <c r="V259" s="51" t="n"/>
      <c r="W259" s="55" t="n"/>
      <c r="X259" s="1" t="n"/>
    </row>
    <row r="260" ht="28.8" customHeight="1">
      <c r="C260" s="3" t="inlineStr">
        <is>
          <t>236</t>
        </is>
      </c>
      <c r="D260" s="4" t="n">
        <v>46239</v>
      </c>
      <c r="E260" s="5" t="inlineStr">
        <is>
          <t>C6</t>
        </is>
      </c>
      <c r="F260" s="3" t="inlineStr">
        <is>
          <t>-4.80</t>
        </is>
      </c>
      <c r="G260" s="6" t="n"/>
      <c r="H260" s="12" t="n">
        <v>3</v>
      </c>
      <c r="I260" s="13" t="n"/>
      <c r="J260" s="13" t="n">
        <v>3</v>
      </c>
      <c r="K260" s="14" t="n"/>
      <c r="L260" s="18" t="n"/>
      <c r="M260" s="19" t="n"/>
      <c r="N260" s="32" t="n"/>
      <c r="O260" s="20" t="n"/>
      <c r="P260" s="46" t="inlineStr">
        <is>
          <t>FX Ultra Alçıpan</t>
        </is>
      </c>
      <c r="Q260" s="47" t="n">
        <v>66</v>
      </c>
      <c r="R260" s="26" t="inlineStr">
        <is>
          <t>m²</t>
        </is>
      </c>
      <c r="S260" s="51" t="n"/>
      <c r="T260" s="168" t="n"/>
      <c r="U260" s="169" t="n"/>
      <c r="V260" s="51" t="n"/>
      <c r="W260" s="55" t="n"/>
      <c r="X260" s="1" t="n"/>
    </row>
    <row r="261" ht="28.8" customHeight="1">
      <c r="C261" s="3" t="inlineStr">
        <is>
          <t>237</t>
        </is>
      </c>
      <c r="D261" s="4" t="n">
        <v>46245</v>
      </c>
      <c r="E261" s="5" t="inlineStr">
        <is>
          <t>C3</t>
        </is>
      </c>
      <c r="F261" s="3" t="inlineStr">
        <is>
          <t>10.20</t>
        </is>
      </c>
      <c r="G261" s="6" t="n"/>
      <c r="H261" s="12" t="n">
        <v>1</v>
      </c>
      <c r="I261" s="13" t="n"/>
      <c r="J261" s="13" t="n">
        <v>1</v>
      </c>
      <c r="K261" s="14" t="n"/>
      <c r="L261" s="18" t="n"/>
      <c r="M261" s="19" t="n"/>
      <c r="N261" s="32" t="n"/>
      <c r="O261" s="20" t="n"/>
      <c r="P261" s="46" t="inlineStr">
        <is>
          <t>dc50</t>
        </is>
      </c>
      <c r="Q261" s="47" t="n">
        <v>19.04</v>
      </c>
      <c r="R261" s="26" t="inlineStr">
        <is>
          <t>m²</t>
        </is>
      </c>
      <c r="S261" s="51" t="n"/>
      <c r="T261" s="168" t="n"/>
      <c r="U261" s="169" t="n"/>
      <c r="V261" s="51" t="n"/>
      <c r="W261" s="55" t="n"/>
      <c r="X261" s="1" t="n"/>
    </row>
    <row r="262" ht="28.8" customHeight="1">
      <c r="C262" s="3" t="inlineStr">
        <is>
          <t>238</t>
        </is>
      </c>
      <c r="D262" s="4" t="n">
        <v>46245</v>
      </c>
      <c r="E262" s="5" t="inlineStr">
        <is>
          <t>C5</t>
        </is>
      </c>
      <c r="F262" s="3" t="inlineStr">
        <is>
          <t>20.20</t>
        </is>
      </c>
      <c r="G262" s="6" t="n"/>
      <c r="H262" s="12" t="n"/>
      <c r="I262" s="13" t="n"/>
      <c r="J262" s="13" t="n">
        <v>2</v>
      </c>
      <c r="K262" s="14" t="n"/>
      <c r="L262" s="18" t="n"/>
      <c r="M262" s="19" t="n"/>
      <c r="N262" s="32" t="n"/>
      <c r="O262" s="20" t="n"/>
      <c r="P262" s="46" t="n"/>
      <c r="Q262" s="47" t="n"/>
      <c r="R262" s="26" t="n"/>
      <c r="S262" s="51" t="n"/>
      <c r="T262" s="168" t="n"/>
      <c r="U262" s="169" t="n"/>
      <c r="V262" s="51" t="n"/>
      <c r="W262" s="55" t="n"/>
      <c r="X262" s="1" t="n"/>
    </row>
    <row r="263" ht="28.8" customHeight="1">
      <c r="C263" s="3" t="inlineStr">
        <is>
          <t>239</t>
        </is>
      </c>
      <c r="D263" s="4" t="n">
        <v>46246</v>
      </c>
      <c r="E263" s="5" t="inlineStr">
        <is>
          <t>C5</t>
        </is>
      </c>
      <c r="F263" s="3" t="inlineStr">
        <is>
          <t>0.20</t>
        </is>
      </c>
      <c r="G263" s="6" t="n"/>
      <c r="H263" s="12" t="n">
        <v>1</v>
      </c>
      <c r="I263" s="13" t="n"/>
      <c r="J263" s="13" t="n">
        <v>1</v>
      </c>
      <c r="K263" s="14" t="n"/>
      <c r="L263" s="18" t="n"/>
      <c r="M263" s="19" t="n"/>
      <c r="N263" s="32" t="n"/>
      <c r="O263" s="20" t="n"/>
      <c r="P263" s="46" t="inlineStr">
        <is>
          <t>FX Ultra Alçıpan</t>
        </is>
      </c>
      <c r="Q263" s="47" t="n">
        <v>15</v>
      </c>
      <c r="R263" s="26" t="inlineStr">
        <is>
          <t>m²</t>
        </is>
      </c>
      <c r="S263" s="51" t="n"/>
      <c r="T263" s="168" t="n"/>
      <c r="U263" s="169" t="n"/>
      <c r="V263" s="51" t="n"/>
      <c r="W263" s="55" t="n"/>
      <c r="X263" s="1" t="n"/>
    </row>
    <row r="264" ht="28.8" customHeight="1">
      <c r="C264" s="3" t="inlineStr">
        <is>
          <t>240</t>
        </is>
      </c>
      <c r="D264" s="4" t="n">
        <v>46254</v>
      </c>
      <c r="E264" s="5" t="inlineStr">
        <is>
          <t>C5</t>
        </is>
      </c>
      <c r="F264" s="3" t="inlineStr">
        <is>
          <t>10.20</t>
        </is>
      </c>
      <c r="G264" s="6" t="n"/>
      <c r="H264" s="12" t="n">
        <v>1</v>
      </c>
      <c r="I264" s="13" t="n"/>
      <c r="J264" s="13" t="n">
        <v>1</v>
      </c>
      <c r="K264" s="14" t="n"/>
      <c r="L264" s="18" t="n"/>
      <c r="M264" s="19" t="n"/>
      <c r="N264" s="32" t="n"/>
      <c r="O264" s="20" t="n"/>
      <c r="P264" s="46" t="n"/>
      <c r="Q264" s="47" t="n"/>
      <c r="R264" s="26" t="n"/>
      <c r="S264" s="51" t="n"/>
      <c r="T264" s="168" t="n"/>
      <c r="U264" s="169" t="n"/>
      <c r="V264" s="51" t="n"/>
      <c r="W264" s="55" t="n"/>
      <c r="X264" s="1" t="n"/>
    </row>
    <row r="265" ht="28.8" customHeight="1">
      <c r="C265" s="3" t="inlineStr">
        <is>
          <t>241</t>
        </is>
      </c>
      <c r="D265" s="4" t="n">
        <v>46258</v>
      </c>
      <c r="E265" s="5" t="inlineStr">
        <is>
          <t>C5</t>
        </is>
      </c>
      <c r="F265" s="3" t="inlineStr">
        <is>
          <t>0.20</t>
        </is>
      </c>
      <c r="G265" s="6" t="inlineStr">
        <is>
          <t>YMC-04,MC-05,YMC-14,MC-20</t>
        </is>
      </c>
      <c r="H265" s="12" t="n"/>
      <c r="I265" s="13" t="n"/>
      <c r="J265" s="13" t="n"/>
      <c r="K265" s="14" t="n"/>
      <c r="L265" s="18" t="n"/>
      <c r="M265" s="19" t="n"/>
      <c r="N265" s="32" t="n"/>
      <c r="O265" s="20" t="n"/>
      <c r="P265" s="46" t="inlineStr">
        <is>
          <t>1.3.2 Duvarlara Alçı Sıva Yapılması</t>
        </is>
      </c>
      <c r="Q265" s="47" t="n">
        <v>2740.6261</v>
      </c>
      <c r="R265" s="26" t="inlineStr">
        <is>
          <t>m²</t>
        </is>
      </c>
      <c r="S265" s="51" t="n"/>
      <c r="T265" s="168" t="n"/>
      <c r="U265" s="169" t="n"/>
      <c r="V265" s="51" t="n"/>
      <c r="W265" s="55" t="n"/>
      <c r="X265" s="1" t="n"/>
    </row>
    <row r="266" ht="28.8" customHeight="1">
      <c r="C266" s="172" t="n"/>
      <c r="D266" s="172" t="n"/>
      <c r="E266" s="172" t="n"/>
      <c r="F266" s="172" t="n"/>
      <c r="G266" s="173" t="n"/>
      <c r="H266" s="171" t="n"/>
      <c r="I266" s="172" t="n"/>
      <c r="J266" s="172" t="n"/>
      <c r="K266" s="173" t="n"/>
      <c r="L266" s="171" t="n"/>
      <c r="M266" s="172" t="n"/>
      <c r="N266" s="175" t="n"/>
      <c r="O266" s="173" t="n"/>
      <c r="P266" s="46" t="inlineStr">
        <is>
          <t>1.3.1 Duvarlara Çimento Esaslı Sıva Yapılması</t>
        </is>
      </c>
      <c r="Q266" s="47" t="n">
        <v>672.3505</v>
      </c>
      <c r="R266" s="26" t="inlineStr">
        <is>
          <t>m²</t>
        </is>
      </c>
      <c r="S266" s="51" t="n"/>
      <c r="T266" s="168" t="n"/>
      <c r="U266" s="169" t="n"/>
      <c r="V266" s="51" t="n"/>
      <c r="W266" s="55" t="n"/>
      <c r="X266" s="1" t="n"/>
    </row>
    <row r="267" ht="28.8" customHeight="1">
      <c r="C267" s="3" t="inlineStr">
        <is>
          <t>242</t>
        </is>
      </c>
      <c r="D267" s="4" t="n">
        <v>46255</v>
      </c>
      <c r="E267" s="5" t="inlineStr">
        <is>
          <t>C3</t>
        </is>
      </c>
      <c r="F267" s="3" t="inlineStr">
        <is>
          <t>10.20</t>
        </is>
      </c>
      <c r="G267" s="6" t="n"/>
      <c r="H267" s="12" t="n"/>
      <c r="I267" s="13" t="n"/>
      <c r="J267" s="13" t="n">
        <v>2</v>
      </c>
      <c r="K267" s="14" t="n"/>
      <c r="L267" s="18" t="n"/>
      <c r="M267" s="19" t="n"/>
      <c r="N267" s="32" t="n"/>
      <c r="O267" s="20" t="n"/>
      <c r="P267" s="46" t="n"/>
      <c r="Q267" s="47" t="n"/>
      <c r="R267" s="26" t="n"/>
      <c r="S267" s="51" t="n"/>
      <c r="T267" s="168" t="n"/>
      <c r="U267" s="169" t="n"/>
      <c r="V267" s="51" t="n"/>
      <c r="W267" s="55" t="n"/>
      <c r="X267" s="1" t="n"/>
    </row>
    <row r="268" ht="28.8" customHeight="1">
      <c r="C268" s="3" t="inlineStr">
        <is>
          <t>243</t>
        </is>
      </c>
      <c r="D268" s="4" t="n">
        <v>46256</v>
      </c>
      <c r="E268" s="5" t="inlineStr">
        <is>
          <t>C5</t>
        </is>
      </c>
      <c r="F268" s="3" t="inlineStr">
        <is>
          <t>10.20</t>
        </is>
      </c>
      <c r="G268" s="6" t="n"/>
      <c r="H268" s="12" t="n">
        <v>1</v>
      </c>
      <c r="I268" s="13" t="n"/>
      <c r="J268" s="13" t="n">
        <v>1</v>
      </c>
      <c r="K268" s="14" t="n"/>
      <c r="L268" s="18" t="n"/>
      <c r="M268" s="19" t="n"/>
      <c r="N268" s="32" t="n"/>
      <c r="O268" s="20" t="n"/>
      <c r="P268" s="46" t="inlineStr">
        <is>
          <t>WR ULTRA ALÇIPANEL</t>
        </is>
      </c>
      <c r="Q268" s="47" t="n">
        <v>10</v>
      </c>
      <c r="R268" s="26" t="inlineStr">
        <is>
          <t>m²</t>
        </is>
      </c>
      <c r="S268" s="51" t="n"/>
      <c r="T268" s="168" t="n"/>
      <c r="U268" s="169" t="n"/>
      <c r="V268" s="51" t="n"/>
      <c r="W268" s="55" t="n"/>
      <c r="X268" s="1" t="n"/>
    </row>
    <row r="269" ht="28.8" customHeight="1">
      <c r="C269" s="3" t="inlineStr">
        <is>
          <t>244</t>
        </is>
      </c>
      <c r="D269" s="4" t="n">
        <v>46256</v>
      </c>
      <c r="E269" s="5" t="inlineStr">
        <is>
          <t>C5</t>
        </is>
      </c>
      <c r="F269" s="3" t="inlineStr">
        <is>
          <t>5.20</t>
        </is>
      </c>
      <c r="G269" s="6" t="n"/>
      <c r="H269" s="12" t="n">
        <v>2</v>
      </c>
      <c r="I269" s="13" t="n"/>
      <c r="J269" s="13" t="n">
        <v>1</v>
      </c>
      <c r="K269" s="14" t="n"/>
      <c r="L269" s="18" t="n"/>
      <c r="M269" s="19" t="n"/>
      <c r="N269" s="32" t="n"/>
      <c r="O269" s="20" t="n"/>
      <c r="P269" s="46" t="n"/>
      <c r="Q269" s="47" t="n"/>
      <c r="R269" s="26" t="n"/>
      <c r="S269" s="51" t="n"/>
      <c r="T269" s="168" t="n"/>
      <c r="U269" s="169" t="n"/>
      <c r="V269" s="51" t="n"/>
      <c r="W269" s="55" t="n"/>
      <c r="X269" s="1" t="n"/>
    </row>
    <row r="270" ht="28.8" customHeight="1">
      <c r="C270" s="3" t="inlineStr">
        <is>
          <t>245</t>
        </is>
      </c>
      <c r="D270" s="4" t="n">
        <v>46256</v>
      </c>
      <c r="E270" s="5" t="inlineStr">
        <is>
          <t>C3</t>
        </is>
      </c>
      <c r="F270" s="3" t="inlineStr">
        <is>
          <t>15.20</t>
        </is>
      </c>
      <c r="G270" s="6" t="n"/>
      <c r="H270" s="12" t="n">
        <v>1</v>
      </c>
      <c r="I270" s="13" t="n"/>
      <c r="J270" s="13" t="n">
        <v>1</v>
      </c>
      <c r="K270" s="14" t="n"/>
      <c r="L270" s="18" t="n"/>
      <c r="M270" s="19" t="n"/>
      <c r="N270" s="32" t="n"/>
      <c r="O270" s="20" t="n"/>
      <c r="P270" s="46" t="n"/>
      <c r="Q270" s="47" t="n"/>
      <c r="R270" s="26" t="n"/>
      <c r="S270" s="51" t="n"/>
      <c r="T270" s="168" t="n"/>
      <c r="U270" s="169" t="n"/>
      <c r="V270" s="51" t="n"/>
      <c r="W270" s="55" t="n"/>
      <c r="X270" s="1" t="n"/>
    </row>
    <row r="271" ht="28.8" customHeight="1">
      <c r="C271" s="3" t="inlineStr">
        <is>
          <t>246</t>
        </is>
      </c>
      <c r="D271" s="4" t="n">
        <v>46256</v>
      </c>
      <c r="E271" s="5" t="inlineStr">
        <is>
          <t>C5</t>
        </is>
      </c>
      <c r="F271" s="3" t="inlineStr">
        <is>
          <t>0.20</t>
        </is>
      </c>
      <c r="G271" s="6" t="n"/>
      <c r="H271" s="12" t="n">
        <v>2</v>
      </c>
      <c r="I271" s="13" t="n"/>
      <c r="J271" s="13" t="n">
        <v>1</v>
      </c>
      <c r="K271" s="14" t="n"/>
      <c r="L271" s="18" t="n"/>
      <c r="M271" s="19" t="n"/>
      <c r="N271" s="32" t="n"/>
      <c r="O271" s="20" t="n"/>
      <c r="P271" s="46" t="n"/>
      <c r="Q271" s="47" t="n"/>
      <c r="R271" s="26" t="n"/>
      <c r="S271" s="51" t="n"/>
      <c r="T271" s="168" t="n"/>
      <c r="U271" s="169" t="n"/>
      <c r="V271" s="51" t="n"/>
      <c r="W271" s="55" t="n"/>
      <c r="X271" s="1" t="n"/>
    </row>
    <row r="272" ht="28.8" customHeight="1">
      <c r="C272" s="3" t="inlineStr">
        <is>
          <t>247</t>
        </is>
      </c>
      <c r="D272" s="4" t="n">
        <v>46258</v>
      </c>
      <c r="E272" s="5" t="inlineStr">
        <is>
          <t>C3-C5</t>
        </is>
      </c>
      <c r="F272" s="3" t="n"/>
      <c r="G272" s="6" t="n"/>
      <c r="H272" s="12" t="n">
        <v>3</v>
      </c>
      <c r="I272" s="13" t="n"/>
      <c r="J272" s="13" t="n">
        <v>3</v>
      </c>
      <c r="K272" s="14" t="n"/>
      <c r="L272" s="18" t="n"/>
      <c r="M272" s="19" t="n"/>
      <c r="N272" s="32" t="n"/>
      <c r="O272" s="20" t="n"/>
      <c r="P272" s="46" t="n"/>
      <c r="Q272" s="47" t="n"/>
      <c r="R272" s="26" t="n"/>
      <c r="S272" s="51" t="n"/>
      <c r="T272" s="168" t="n"/>
      <c r="U272" s="169" t="n"/>
      <c r="V272" s="51" t="n"/>
      <c r="W272" s="55" t="n"/>
      <c r="X272" s="1" t="n"/>
    </row>
    <row r="273" ht="28.8" customHeight="1">
      <c r="C273" s="3" t="inlineStr">
        <is>
          <t>248</t>
        </is>
      </c>
      <c r="D273" s="4" t="n">
        <v>46258</v>
      </c>
      <c r="E273" s="5" t="inlineStr">
        <is>
          <t>C3-C5</t>
        </is>
      </c>
      <c r="F273" s="3" t="inlineStr">
        <is>
          <t>25.20</t>
        </is>
      </c>
      <c r="G273" s="6" t="n"/>
      <c r="H273" s="12" t="n">
        <v>3</v>
      </c>
      <c r="I273" s="13" t="n"/>
      <c r="J273" s="13" t="n">
        <v>3</v>
      </c>
      <c r="K273" s="14" t="n"/>
      <c r="L273" s="18" t="n"/>
      <c r="M273" s="19" t="n"/>
      <c r="N273" s="32" t="n"/>
      <c r="O273" s="20" t="n"/>
      <c r="P273" s="46" t="inlineStr">
        <is>
          <t>15 cm gazbeton</t>
        </is>
      </c>
      <c r="Q273" s="47" t="n">
        <v>24</v>
      </c>
      <c r="R273" s="26" t="inlineStr">
        <is>
          <t>m²</t>
        </is>
      </c>
      <c r="S273" s="51" t="n"/>
      <c r="T273" s="168" t="n"/>
      <c r="U273" s="169" t="n"/>
      <c r="V273" s="51" t="n"/>
      <c r="W273" s="55" t="n"/>
      <c r="X273" s="1" t="n"/>
    </row>
    <row r="274" ht="28.8" customHeight="1">
      <c r="C274" s="3" t="inlineStr">
        <is>
          <t>249</t>
        </is>
      </c>
      <c r="D274" s="4" t="n">
        <v>46259</v>
      </c>
      <c r="E274" s="5" t="inlineStr">
        <is>
          <t>C5</t>
        </is>
      </c>
      <c r="F274" s="3" t="inlineStr">
        <is>
          <t>20.20</t>
        </is>
      </c>
      <c r="G274" s="6" t="n"/>
      <c r="H274" s="12" t="n">
        <v>1</v>
      </c>
      <c r="I274" s="13" t="n"/>
      <c r="J274" s="13" t="n">
        <v>1</v>
      </c>
      <c r="K274" s="14" t="n"/>
      <c r="L274" s="18" t="n"/>
      <c r="M274" s="19" t="n"/>
      <c r="N274" s="32" t="n"/>
      <c r="O274" s="20" t="n"/>
      <c r="P274" s="46" t="inlineStr">
        <is>
          <t>20 cm gazbeton</t>
        </is>
      </c>
      <c r="Q274" s="47" t="n">
        <v>10</v>
      </c>
      <c r="R274" s="26" t="inlineStr">
        <is>
          <t>m²</t>
        </is>
      </c>
      <c r="S274" s="51" t="n"/>
      <c r="T274" s="168" t="n"/>
      <c r="U274" s="169" t="n"/>
      <c r="V274" s="51" t="n"/>
      <c r="W274" s="55" t="n"/>
      <c r="X274" s="1" t="n"/>
    </row>
    <row r="275" ht="28.8" customHeight="1">
      <c r="C275" s="3" t="inlineStr">
        <is>
          <t>250</t>
        </is>
      </c>
      <c r="D275" s="4" t="n">
        <v>46263</v>
      </c>
      <c r="E275" s="5" t="inlineStr">
        <is>
          <t>C3</t>
        </is>
      </c>
      <c r="F275" s="3" t="inlineStr">
        <is>
          <t>25.20</t>
        </is>
      </c>
      <c r="G275" s="6" t="n"/>
      <c r="H275" s="12" t="n">
        <v>2</v>
      </c>
      <c r="I275" s="13" t="n"/>
      <c r="J275" s="13" t="n">
        <v>2</v>
      </c>
      <c r="K275" s="14" t="n"/>
      <c r="L275" s="18" t="n"/>
      <c r="M275" s="19" t="n"/>
      <c r="N275" s="32" t="n"/>
      <c r="O275" s="20" t="n"/>
      <c r="P275" s="46" t="inlineStr">
        <is>
          <t>FX Ultra Alçıpan</t>
        </is>
      </c>
      <c r="Q275" s="47" t="n">
        <v>70</v>
      </c>
      <c r="R275" s="26" t="inlineStr">
        <is>
          <t>m²</t>
        </is>
      </c>
      <c r="S275" s="51" t="n"/>
      <c r="T275" s="168" t="n"/>
      <c r="U275" s="169" t="n"/>
      <c r="V275" s="51" t="n"/>
      <c r="W275" s="55" t="n"/>
      <c r="X275" s="1" t="n"/>
    </row>
    <row r="276" ht="28.8" customHeight="1">
      <c r="C276" s="3" t="inlineStr">
        <is>
          <t>251</t>
        </is>
      </c>
      <c r="D276" s="4" t="n">
        <v>46265</v>
      </c>
      <c r="E276" s="5" t="inlineStr">
        <is>
          <t>C5</t>
        </is>
      </c>
      <c r="F276" s="3" t="inlineStr">
        <is>
          <t>15.20</t>
        </is>
      </c>
      <c r="G276" s="6" t="n"/>
      <c r="H276" s="12" t="n">
        <v>1</v>
      </c>
      <c r="I276" s="13" t="n"/>
      <c r="J276" s="13" t="n"/>
      <c r="K276" s="14" t="n"/>
      <c r="L276" s="18" t="n"/>
      <c r="M276" s="19" t="n"/>
      <c r="N276" s="32" t="n"/>
      <c r="O276" s="20" t="n"/>
      <c r="P276" s="46" t="inlineStr">
        <is>
          <t>40*20*1.5 kutu profil</t>
        </is>
      </c>
      <c r="Q276" s="47" t="n">
        <v>6.6</v>
      </c>
      <c r="R276" s="26" t="inlineStr">
        <is>
          <t>m</t>
        </is>
      </c>
      <c r="S276" s="51" t="n"/>
      <c r="T276" s="168" t="n"/>
      <c r="U276" s="169" t="n"/>
      <c r="V276" s="51" t="n"/>
      <c r="W276" s="55" t="n"/>
      <c r="X276" s="1" t="n"/>
    </row>
    <row r="277" ht="28.8" customHeight="1">
      <c r="C277" s="3" t="inlineStr">
        <is>
          <t>252</t>
        </is>
      </c>
      <c r="D277" s="4" t="n">
        <v>46272</v>
      </c>
      <c r="E277" s="5" t="inlineStr">
        <is>
          <t>C5</t>
        </is>
      </c>
      <c r="F277" s="3" t="inlineStr">
        <is>
          <t>10.20</t>
        </is>
      </c>
      <c r="G277" s="6" t="n"/>
      <c r="H277" s="12" t="n"/>
      <c r="I277" s="13" t="n"/>
      <c r="J277" s="13" t="n">
        <v>2</v>
      </c>
      <c r="K277" s="14" t="n"/>
      <c r="L277" s="18" t="n"/>
      <c r="M277" s="19" t="n"/>
      <c r="N277" s="32" t="n"/>
      <c r="O277" s="20" t="n"/>
      <c r="P277" s="46" t="n"/>
      <c r="Q277" s="47" t="n"/>
      <c r="R277" s="26" t="n"/>
      <c r="S277" s="51" t="n"/>
      <c r="T277" s="168" t="n"/>
      <c r="U277" s="169" t="n"/>
      <c r="V277" s="51" t="n"/>
      <c r="W277" s="55" t="n"/>
      <c r="X277" s="1" t="n"/>
    </row>
    <row r="278" ht="28.8" customHeight="1">
      <c r="C278" s="3" t="inlineStr">
        <is>
          <t>253</t>
        </is>
      </c>
      <c r="D278" s="4" t="n">
        <v>46273</v>
      </c>
      <c r="E278" s="5" t="inlineStr">
        <is>
          <t>C7</t>
        </is>
      </c>
      <c r="F278" s="3" t="inlineStr">
        <is>
          <t>-10.20</t>
        </is>
      </c>
      <c r="G278" s="6" t="n"/>
      <c r="H278" s="12" t="n">
        <v>2</v>
      </c>
      <c r="I278" s="13" t="n"/>
      <c r="J278" s="13" t="n">
        <v>2</v>
      </c>
      <c r="K278" s="14" t="n"/>
      <c r="L278" s="18" t="n"/>
      <c r="M278" s="19" t="n"/>
      <c r="N278" s="32" t="n"/>
      <c r="O278" s="20" t="n"/>
      <c r="P278" s="46" t="inlineStr">
        <is>
          <t>15 cm gazbeton</t>
        </is>
      </c>
      <c r="Q278" s="47" t="n">
        <v>29.04</v>
      </c>
      <c r="R278" s="26" t="inlineStr">
        <is>
          <t>m²</t>
        </is>
      </c>
      <c r="S278" s="51" t="n"/>
      <c r="T278" s="168" t="n"/>
      <c r="U278" s="169" t="n"/>
      <c r="V278" s="51" t="n"/>
      <c r="W278" s="55" t="n"/>
      <c r="X278" s="1" t="n"/>
    </row>
    <row r="279" ht="28.8" customHeight="1">
      <c r="C279" s="3" t="inlineStr">
        <is>
          <t>254</t>
        </is>
      </c>
      <c r="D279" s="4" t="n">
        <v>46273</v>
      </c>
      <c r="E279" s="5" t="inlineStr">
        <is>
          <t>C7</t>
        </is>
      </c>
      <c r="F279" s="3" t="inlineStr">
        <is>
          <t>-10.20</t>
        </is>
      </c>
      <c r="G279" s="6" t="n"/>
      <c r="H279" s="12" t="n"/>
      <c r="I279" s="13" t="n"/>
      <c r="J279" s="13" t="n"/>
      <c r="K279" s="14" t="n"/>
      <c r="L279" s="18" t="n"/>
      <c r="M279" s="19" t="n"/>
      <c r="N279" s="32" t="n"/>
      <c r="O279" s="20" t="n"/>
      <c r="P279" s="46" t="inlineStr">
        <is>
          <t>30*130 metal asma tavan plaka</t>
        </is>
      </c>
      <c r="Q279" s="47" t="n">
        <v>9</v>
      </c>
      <c r="R279" s="26" t="inlineStr">
        <is>
          <t>kutu</t>
        </is>
      </c>
      <c r="S279" s="51" t="n"/>
      <c r="T279" s="168" t="n"/>
      <c r="U279" s="169" t="n"/>
      <c r="V279" s="51" t="n"/>
      <c r="W279" s="55" t="n"/>
      <c r="X279" s="1" t="n"/>
    </row>
    <row r="280" ht="28.8" customHeight="1">
      <c r="C280" s="172" t="n"/>
      <c r="D280" s="172" t="n"/>
      <c r="E280" s="172" t="n"/>
      <c r="F280" s="172" t="n"/>
      <c r="G280" s="173" t="n"/>
      <c r="H280" s="171" t="n"/>
      <c r="I280" s="172" t="n"/>
      <c r="J280" s="172" t="n"/>
      <c r="K280" s="173" t="n"/>
      <c r="L280" s="171" t="n"/>
      <c r="M280" s="172" t="n"/>
      <c r="N280" s="175" t="n"/>
      <c r="O280" s="173" t="n"/>
      <c r="P280" s="46" t="inlineStr">
        <is>
          <t>45.5*95 metal asma tavan plaka</t>
        </is>
      </c>
      <c r="Q280" s="47" t="n">
        <v>9</v>
      </c>
      <c r="R280" s="26" t="inlineStr">
        <is>
          <t>kutu</t>
        </is>
      </c>
      <c r="S280" s="51" t="n"/>
      <c r="T280" s="168" t="n"/>
      <c r="U280" s="169" t="n"/>
      <c r="V280" s="51" t="n"/>
      <c r="W280" s="55" t="n"/>
      <c r="X280" s="1" t="n"/>
    </row>
    <row r="281" ht="28.8" customHeight="1">
      <c r="C281" s="3" t="inlineStr">
        <is>
          <t>255</t>
        </is>
      </c>
      <c r="D281" s="4" t="n">
        <v>46274</v>
      </c>
      <c r="E281" s="5" t="inlineStr">
        <is>
          <t>C7</t>
        </is>
      </c>
      <c r="F281" s="3" t="inlineStr">
        <is>
          <t>-10.20</t>
        </is>
      </c>
      <c r="G281" s="6" t="n"/>
      <c r="H281" s="12" t="n">
        <v>2</v>
      </c>
      <c r="I281" s="13" t="n"/>
      <c r="J281" s="13" t="n">
        <v>2</v>
      </c>
      <c r="K281" s="14" t="n"/>
      <c r="L281" s="18" t="n"/>
      <c r="M281" s="19" t="n"/>
      <c r="N281" s="32" t="n"/>
      <c r="O281" s="20" t="n"/>
      <c r="P281" s="46" t="inlineStr">
        <is>
          <t>15 cm gazbeton</t>
        </is>
      </c>
      <c r="Q281" s="47" t="n">
        <v>29.04</v>
      </c>
      <c r="R281" s="26" t="inlineStr">
        <is>
          <t>m²</t>
        </is>
      </c>
      <c r="S281" s="51" t="n"/>
      <c r="T281" s="168" t="n"/>
      <c r="U281" s="169" t="n"/>
      <c r="V281" s="51" t="n"/>
      <c r="W281" s="55" t="n"/>
      <c r="X281" s="1" t="n"/>
    </row>
    <row r="282" ht="28.8" customHeight="1">
      <c r="C282" s="3" t="inlineStr">
        <is>
          <t>256</t>
        </is>
      </c>
      <c r="D282" s="4" t="n">
        <v>46281</v>
      </c>
      <c r="E282" s="5" t="inlineStr">
        <is>
          <t>C BLOK</t>
        </is>
      </c>
      <c r="F282" s="3" t="n"/>
      <c r="G282" s="6" t="n"/>
      <c r="H282" s="12" t="n"/>
      <c r="I282" s="13" t="n"/>
      <c r="J282" s="13" t="n"/>
      <c r="K282" s="14" t="n"/>
      <c r="L282" s="18" t="n"/>
      <c r="M282" s="19" t="n"/>
      <c r="N282" s="32" t="n"/>
      <c r="O282" s="20" t="n"/>
      <c r="P282" s="46" t="n"/>
      <c r="Q282" s="47" t="n"/>
      <c r="R282" s="26" t="n"/>
      <c r="S282" s="51" t="n"/>
      <c r="T282" s="168" t="n"/>
      <c r="U282" s="169" t="n"/>
      <c r="V282" s="51" t="n"/>
      <c r="W282" s="55" t="n"/>
      <c r="X282" s="1" t="n"/>
    </row>
    <row r="283" ht="28.8" customHeight="1">
      <c r="C283" s="3" t="inlineStr">
        <is>
          <t>257</t>
        </is>
      </c>
      <c r="D283" s="4" t="n">
        <v>46281</v>
      </c>
      <c r="E283" s="5" t="inlineStr">
        <is>
          <t>C BLOK</t>
        </is>
      </c>
      <c r="F283" s="3" t="n"/>
      <c r="G283" s="6" t="n"/>
      <c r="H283" s="12" t="n"/>
      <c r="I283" s="13" t="n"/>
      <c r="J283" s="13" t="n"/>
      <c r="K283" s="14" t="n"/>
      <c r="L283" s="18" t="n"/>
      <c r="M283" s="19" t="n"/>
      <c r="N283" s="32" t="n"/>
      <c r="O283" s="20" t="n"/>
      <c r="P283" s="46" t="n"/>
      <c r="Q283" s="47" t="n"/>
      <c r="R283" s="26" t="n"/>
      <c r="S283" s="51" t="n"/>
      <c r="T283" s="168" t="n"/>
      <c r="U283" s="169" t="n"/>
      <c r="V283" s="51" t="n"/>
      <c r="W283" s="55" t="n"/>
      <c r="X283" s="1" t="n"/>
    </row>
    <row r="284" ht="28.8" customHeight="1">
      <c r="C284" s="3" t="inlineStr">
        <is>
          <t>258</t>
        </is>
      </c>
      <c r="D284" s="4" t="n">
        <v>46281</v>
      </c>
      <c r="E284" s="5" t="inlineStr">
        <is>
          <t>C3</t>
        </is>
      </c>
      <c r="F284" s="3" t="inlineStr">
        <is>
          <t>20.20</t>
        </is>
      </c>
      <c r="G284" s="6" t="n"/>
      <c r="H284" s="12" t="n"/>
      <c r="I284" s="13" t="n"/>
      <c r="J284" s="13" t="n">
        <v>2</v>
      </c>
      <c r="K284" s="14" t="n"/>
      <c r="L284" s="18" t="n"/>
      <c r="M284" s="19" t="n"/>
      <c r="N284" s="32" t="n"/>
      <c r="O284" s="20" t="n"/>
      <c r="P284" s="46" t="n"/>
      <c r="Q284" s="47" t="n"/>
      <c r="R284" s="26" t="n"/>
      <c r="S284" s="51" t="n"/>
      <c r="T284" s="168" t="n"/>
      <c r="U284" s="169" t="n"/>
      <c r="V284" s="51" t="n"/>
      <c r="W284" s="55" t="n"/>
      <c r="X284" s="1" t="n"/>
    </row>
    <row r="285" ht="28.8" customHeight="1">
      <c r="C285" s="3" t="inlineStr">
        <is>
          <t>259</t>
        </is>
      </c>
      <c r="D285" s="4" t="n">
        <v>46281</v>
      </c>
      <c r="E285" s="5" t="inlineStr">
        <is>
          <t>C6</t>
        </is>
      </c>
      <c r="F285" s="3" t="inlineStr">
        <is>
          <t>-10.20</t>
        </is>
      </c>
      <c r="G285" s="6" t="inlineStr">
        <is>
          <t>C-B1-459</t>
        </is>
      </c>
      <c r="H285" s="12" t="n">
        <v>1</v>
      </c>
      <c r="I285" s="13" t="n"/>
      <c r="J285" s="13" t="n">
        <v>1</v>
      </c>
      <c r="K285" s="14" t="n"/>
      <c r="L285" s="18" t="n"/>
      <c r="M285" s="19" t="n"/>
      <c r="N285" s="32" t="n"/>
      <c r="O285" s="20" t="n"/>
      <c r="P285" s="46" t="inlineStr">
        <is>
          <t>1.1.1_15 cm Kalınlığındaki Techizatsız Gazbeton Duvar Blokları İle Duvar Yapılması</t>
        </is>
      </c>
      <c r="Q285" s="47" t="n">
        <v>31.45</v>
      </c>
      <c r="R285" s="26" t="inlineStr">
        <is>
          <t>m²</t>
        </is>
      </c>
      <c r="S285" s="51" t="n"/>
      <c r="T285" s="168" t="n"/>
      <c r="U285" s="169" t="n"/>
      <c r="V285" s="51" t="n"/>
      <c r="W285" s="55" t="n"/>
      <c r="X285" s="1" t="n"/>
    </row>
    <row r="286" ht="28.8" customHeight="1">
      <c r="C286" s="176" t="n"/>
      <c r="D286" s="176" t="n"/>
      <c r="E286" s="176" t="n"/>
      <c r="F286" s="176" t="n"/>
      <c r="G286" s="177" t="n"/>
      <c r="H286" s="178" t="n"/>
      <c r="I286" s="176" t="n"/>
      <c r="J286" s="176" t="n"/>
      <c r="K286" s="177" t="n"/>
      <c r="L286" s="178" t="n"/>
      <c r="M286" s="176" t="n"/>
      <c r="N286" s="179" t="n"/>
      <c r="O286" s="177" t="n"/>
      <c r="P286" s="46" t="inlineStr">
        <is>
          <t>1.1.4_Betonarme Düşey Hatıl Yapılması</t>
        </is>
      </c>
      <c r="Q286" s="47" t="n">
        <v>0.13</v>
      </c>
      <c r="R286" s="26" t="inlineStr">
        <is>
          <t>m³</t>
        </is>
      </c>
      <c r="S286" s="51" t="n"/>
      <c r="T286" s="168" t="n"/>
      <c r="U286" s="169" t="n"/>
      <c r="V286" s="51" t="n"/>
      <c r="W286" s="55" t="n"/>
      <c r="X286" s="1" t="n"/>
    </row>
    <row r="287" ht="28.8" customHeight="1">
      <c r="C287" s="176" t="n"/>
      <c r="D287" s="176" t="n"/>
      <c r="E287" s="176" t="n"/>
      <c r="F287" s="176" t="n"/>
      <c r="G287" s="177" t="n"/>
      <c r="H287" s="178" t="n"/>
      <c r="I287" s="176" t="n"/>
      <c r="J287" s="176" t="n"/>
      <c r="K287" s="177" t="n"/>
      <c r="L287" s="178" t="n"/>
      <c r="M287" s="176" t="n"/>
      <c r="N287" s="179" t="n"/>
      <c r="O287" s="177" t="n"/>
      <c r="P287" s="46" t="inlineStr">
        <is>
          <t>15 cm gazbeton</t>
        </is>
      </c>
      <c r="Q287" s="47" t="n">
        <v>31.45</v>
      </c>
      <c r="R287" s="26" t="inlineStr">
        <is>
          <t>m²</t>
        </is>
      </c>
      <c r="S287" s="51" t="n"/>
      <c r="T287" s="168" t="n"/>
      <c r="U287" s="169" t="n"/>
      <c r="V287" s="51" t="n"/>
      <c r="W287" s="55" t="n"/>
      <c r="X287" s="1" t="n"/>
    </row>
    <row r="288" ht="28.8" customHeight="1">
      <c r="C288" s="172" t="n"/>
      <c r="D288" s="172" t="n"/>
      <c r="E288" s="172" t="n"/>
      <c r="F288" s="172" t="n"/>
      <c r="G288" s="173" t="n"/>
      <c r="H288" s="171" t="n"/>
      <c r="I288" s="172" t="n"/>
      <c r="J288" s="172" t="n"/>
      <c r="K288" s="173" t="n"/>
      <c r="L288" s="171" t="n"/>
      <c r="M288" s="172" t="n"/>
      <c r="N288" s="175" t="n"/>
      <c r="O288" s="173" t="n"/>
      <c r="P288" s="46" t="inlineStr">
        <is>
          <t>Hatıl Betonu</t>
        </is>
      </c>
      <c r="Q288" s="47" t="n">
        <v>0.13</v>
      </c>
      <c r="R288" s="26" t="inlineStr">
        <is>
          <t>m³</t>
        </is>
      </c>
      <c r="S288" s="51" t="n"/>
      <c r="T288" s="168" t="n"/>
      <c r="U288" s="169" t="n"/>
      <c r="V288" s="51" t="n"/>
      <c r="W288" s="55" t="n"/>
      <c r="X288" s="1" t="n"/>
    </row>
    <row r="289" ht="28.8" customHeight="1">
      <c r="C289" s="3" t="inlineStr">
        <is>
          <t>260</t>
        </is>
      </c>
      <c r="D289" s="4" t="n">
        <v>46282</v>
      </c>
      <c r="E289" s="5" t="inlineStr">
        <is>
          <t>C3</t>
        </is>
      </c>
      <c r="F289" s="3" t="inlineStr">
        <is>
          <t>15.20</t>
        </is>
      </c>
      <c r="G289" s="6" t="n"/>
      <c r="H289" s="12" t="n">
        <v>1</v>
      </c>
      <c r="I289" s="13" t="n"/>
      <c r="J289" s="13" t="n">
        <v>1</v>
      </c>
      <c r="K289" s="14" t="n"/>
      <c r="L289" s="18" t="n"/>
      <c r="M289" s="19" t="n"/>
      <c r="N289" s="32" t="n"/>
      <c r="O289" s="20" t="n"/>
      <c r="P289" s="46" t="n"/>
      <c r="Q289" s="47" t="n"/>
      <c r="R289" s="26" t="n"/>
      <c r="S289" s="51" t="n"/>
      <c r="T289" s="168" t="n"/>
      <c r="U289" s="169" t="n"/>
      <c r="V289" s="51" t="n"/>
      <c r="W289" s="55" t="n"/>
      <c r="X289" s="1" t="n"/>
    </row>
    <row r="290" ht="28.8" customHeight="1">
      <c r="C290" s="3" t="inlineStr">
        <is>
          <t>261</t>
        </is>
      </c>
      <c r="D290" s="4" t="n">
        <v>46283</v>
      </c>
      <c r="E290" s="5" t="inlineStr">
        <is>
          <t>C3</t>
        </is>
      </c>
      <c r="F290" s="3" t="inlineStr">
        <is>
          <t>15.20</t>
        </is>
      </c>
      <c r="G290" s="6" t="n"/>
      <c r="H290" s="12" t="n">
        <v>4</v>
      </c>
      <c r="I290" s="13" t="n"/>
      <c r="J290" s="13" t="n">
        <v>4</v>
      </c>
      <c r="K290" s="14" t="n"/>
      <c r="L290" s="18" t="n"/>
      <c r="M290" s="19" t="n"/>
      <c r="N290" s="32" t="n"/>
      <c r="O290" s="20" t="n"/>
      <c r="P290" s="46" t="n"/>
      <c r="Q290" s="47" t="n"/>
      <c r="R290" s="26" t="n"/>
      <c r="S290" s="51" t="n"/>
      <c r="T290" s="168" t="n"/>
      <c r="U290" s="169" t="n"/>
      <c r="V290" s="51" t="n"/>
      <c r="W290" s="55" t="n"/>
      <c r="X290" s="1" t="n"/>
    </row>
    <row r="291" ht="28.8" customHeight="1">
      <c r="C291" s="3" t="inlineStr">
        <is>
          <t>262</t>
        </is>
      </c>
      <c r="D291" s="4" t="n">
        <v>46283</v>
      </c>
      <c r="E291" s="5" t="inlineStr">
        <is>
          <t>C5</t>
        </is>
      </c>
      <c r="F291" s="3" t="inlineStr">
        <is>
          <t>25.20</t>
        </is>
      </c>
      <c r="G291" s="6" t="n"/>
      <c r="H291" s="12" t="n"/>
      <c r="I291" s="13" t="n"/>
      <c r="J291" s="13" t="n">
        <v>2</v>
      </c>
      <c r="K291" s="14" t="n"/>
      <c r="L291" s="18" t="n"/>
      <c r="M291" s="19" t="n"/>
      <c r="N291" s="32" t="n"/>
      <c r="O291" s="20" t="n"/>
      <c r="P291" s="46" t="n"/>
      <c r="Q291" s="47" t="n"/>
      <c r="R291" s="26" t="n"/>
      <c r="S291" s="51" t="n"/>
      <c r="T291" s="168" t="n"/>
      <c r="U291" s="169" t="n"/>
      <c r="V291" s="51" t="n"/>
      <c r="W291" s="55" t="n"/>
      <c r="X291" s="1" t="n"/>
    </row>
    <row r="292" ht="28.8" customHeight="1">
      <c r="C292" s="3" t="inlineStr">
        <is>
          <t>263</t>
        </is>
      </c>
      <c r="D292" s="4" t="n">
        <v>46283</v>
      </c>
      <c r="E292" s="5" t="inlineStr">
        <is>
          <t>C</t>
        </is>
      </c>
      <c r="F292" s="3" t="n"/>
      <c r="G292" s="6" t="n"/>
      <c r="H292" s="12" t="n">
        <v>1</v>
      </c>
      <c r="I292" s="13" t="n"/>
      <c r="J292" s="13" t="n">
        <v>1</v>
      </c>
      <c r="K292" s="14" t="n"/>
      <c r="L292" s="18" t="n"/>
      <c r="M292" s="19" t="n"/>
      <c r="N292" s="32" t="n"/>
      <c r="O292" s="20" t="n"/>
      <c r="P292" s="46" t="inlineStr">
        <is>
          <t>40*40*2 mm Kutu Profil</t>
        </is>
      </c>
      <c r="Q292" s="47" t="n">
        <v>60</v>
      </c>
      <c r="R292" s="26" t="inlineStr">
        <is>
          <t>m</t>
        </is>
      </c>
      <c r="S292" s="51" t="n"/>
      <c r="T292" s="168" t="n"/>
      <c r="U292" s="169" t="n"/>
      <c r="V292" s="51" t="n"/>
      <c r="W292" s="55" t="n"/>
      <c r="X292" s="1" t="n"/>
    </row>
    <row r="293" ht="28.8" customHeight="1">
      <c r="C293" s="172" t="n"/>
      <c r="D293" s="172" t="n"/>
      <c r="E293" s="172" t="n"/>
      <c r="F293" s="172" t="n"/>
      <c r="G293" s="173" t="n"/>
      <c r="H293" s="171" t="n"/>
      <c r="I293" s="172" t="n"/>
      <c r="J293" s="172" t="n"/>
      <c r="K293" s="173" t="n"/>
      <c r="L293" s="171" t="n"/>
      <c r="M293" s="172" t="n"/>
      <c r="N293" s="175" t="n"/>
      <c r="O293" s="173" t="n"/>
      <c r="P293" s="46" t="inlineStr">
        <is>
          <t>FX Ultra Alçıpan</t>
        </is>
      </c>
      <c r="Q293" s="47" t="n">
        <v>6</v>
      </c>
      <c r="R293" s="26" t="inlineStr">
        <is>
          <t>m²</t>
        </is>
      </c>
      <c r="S293" s="51" t="n"/>
      <c r="T293" s="168" t="n"/>
      <c r="U293" s="169" t="n"/>
      <c r="V293" s="51" t="n"/>
      <c r="W293" s="55" t="n"/>
      <c r="X293" s="1" t="n"/>
    </row>
    <row r="294" ht="28.8" customHeight="1">
      <c r="C294" s="3" t="inlineStr">
        <is>
          <t>264</t>
        </is>
      </c>
      <c r="D294" s="4" t="n">
        <v>46283</v>
      </c>
      <c r="E294" s="5" t="inlineStr">
        <is>
          <t>C</t>
        </is>
      </c>
      <c r="F294" s="3" t="n"/>
      <c r="G294" s="6" t="n"/>
      <c r="H294" s="12" t="n"/>
      <c r="I294" s="13" t="n"/>
      <c r="J294" s="13" t="n">
        <v>2</v>
      </c>
      <c r="K294" s="14" t="n"/>
      <c r="L294" s="18" t="n"/>
      <c r="M294" s="19" t="n"/>
      <c r="N294" s="32" t="n"/>
      <c r="O294" s="20" t="n"/>
      <c r="P294" s="46" t="n"/>
      <c r="Q294" s="47" t="n"/>
      <c r="R294" s="26" t="n"/>
      <c r="S294" s="51" t="n"/>
      <c r="T294" s="168" t="n"/>
      <c r="U294" s="169" t="n"/>
      <c r="V294" s="51" t="n"/>
      <c r="W294" s="55" t="n"/>
      <c r="X294" s="1" t="n"/>
    </row>
    <row r="295" ht="28.8" customHeight="1">
      <c r="C295" s="3" t="inlineStr">
        <is>
          <t>265</t>
        </is>
      </c>
      <c r="D295" s="4" t="n">
        <v>46284</v>
      </c>
      <c r="E295" s="5" t="inlineStr">
        <is>
          <t>C3</t>
        </is>
      </c>
      <c r="F295" s="3" t="inlineStr">
        <is>
          <t>20.20</t>
        </is>
      </c>
      <c r="G295" s="6" t="n"/>
      <c r="H295" s="12" t="n">
        <v>2</v>
      </c>
      <c r="I295" s="13" t="n"/>
      <c r="J295" s="13" t="n">
        <v>1</v>
      </c>
      <c r="K295" s="14" t="n"/>
      <c r="L295" s="18" t="n"/>
      <c r="M295" s="19" t="n"/>
      <c r="N295" s="32" t="n"/>
      <c r="O295" s="20" t="n"/>
      <c r="P295" s="46" t="n"/>
      <c r="Q295" s="47" t="n"/>
      <c r="R295" s="26" t="n"/>
      <c r="S295" s="51" t="n"/>
      <c r="T295" s="168" t="n"/>
      <c r="U295" s="169" t="n"/>
      <c r="V295" s="51" t="n"/>
      <c r="W295" s="55" t="n"/>
      <c r="X295" s="1" t="n"/>
    </row>
    <row r="296" ht="28.8" customHeight="1">
      <c r="C296" s="3" t="inlineStr">
        <is>
          <t>266</t>
        </is>
      </c>
      <c r="D296" s="4" t="n">
        <v>46282</v>
      </c>
      <c r="E296" s="5" t="inlineStr">
        <is>
          <t>C7</t>
        </is>
      </c>
      <c r="F296" s="3" t="inlineStr">
        <is>
          <t>-4.80</t>
        </is>
      </c>
      <c r="G296" s="6" t="inlineStr">
        <is>
          <t>C-AZ-434</t>
        </is>
      </c>
      <c r="H296" s="12" t="n">
        <v>3</v>
      </c>
      <c r="I296" s="13" t="n"/>
      <c r="J296" s="13" t="n">
        <v>6</v>
      </c>
      <c r="K296" s="14" t="n"/>
      <c r="L296" s="18" t="n"/>
      <c r="M296" s="19" t="n"/>
      <c r="N296" s="32" t="n"/>
      <c r="O296" s="20" t="n"/>
      <c r="P296" s="46" t="inlineStr">
        <is>
          <t>1.1.1_15 cm Kalınlığındaki Techizatsız Gazbeton Duvar Blokları İle Duvar Yapılması</t>
        </is>
      </c>
      <c r="Q296" s="47" t="n">
        <v>48.75</v>
      </c>
      <c r="R296" s="26" t="inlineStr">
        <is>
          <t>m²</t>
        </is>
      </c>
      <c r="S296" s="51" t="n"/>
      <c r="T296" s="168" t="n"/>
      <c r="U296" s="169" t="n"/>
      <c r="V296" s="51" t="n"/>
      <c r="W296" s="55" t="n"/>
      <c r="X296" s="1" t="n"/>
    </row>
    <row r="297" ht="28.8" customHeight="1">
      <c r="C297" s="176" t="n"/>
      <c r="D297" s="176" t="n"/>
      <c r="E297" s="176" t="n"/>
      <c r="F297" s="176" t="n"/>
      <c r="G297" s="177" t="n"/>
      <c r="H297" s="178" t="n"/>
      <c r="I297" s="176" t="n"/>
      <c r="J297" s="176" t="n"/>
      <c r="K297" s="177" t="n"/>
      <c r="L297" s="178" t="n"/>
      <c r="M297" s="176" t="n"/>
      <c r="N297" s="179" t="n"/>
      <c r="O297" s="177" t="n"/>
      <c r="P297" s="46" t="inlineStr">
        <is>
          <t>1.1.4_Betonarme Düşey Hatıl Yapılması</t>
        </is>
      </c>
      <c r="Q297" s="47" t="n">
        <v>0.13</v>
      </c>
      <c r="R297" s="26" t="inlineStr">
        <is>
          <t>m³</t>
        </is>
      </c>
      <c r="S297" s="51" t="n"/>
      <c r="T297" s="168" t="n"/>
      <c r="U297" s="169" t="n"/>
      <c r="V297" s="51" t="n"/>
      <c r="W297" s="55" t="n"/>
      <c r="X297" s="1" t="n"/>
    </row>
    <row r="298" ht="28.8" customHeight="1">
      <c r="C298" s="176" t="n"/>
      <c r="D298" s="176" t="n"/>
      <c r="E298" s="176" t="n"/>
      <c r="F298" s="176" t="n"/>
      <c r="G298" s="177" t="n"/>
      <c r="H298" s="178" t="n"/>
      <c r="I298" s="176" t="n"/>
      <c r="J298" s="176" t="n"/>
      <c r="K298" s="177" t="n"/>
      <c r="L298" s="178" t="n"/>
      <c r="M298" s="176" t="n"/>
      <c r="N298" s="179" t="n"/>
      <c r="O298" s="177" t="n"/>
      <c r="P298" s="46" t="inlineStr">
        <is>
          <t>15 cm gazbeton</t>
        </is>
      </c>
      <c r="Q298" s="47" t="n">
        <v>48.75</v>
      </c>
      <c r="R298" s="26" t="inlineStr">
        <is>
          <t>m²</t>
        </is>
      </c>
      <c r="S298" s="51" t="n"/>
      <c r="T298" s="168" t="n"/>
      <c r="U298" s="169" t="n"/>
      <c r="V298" s="51" t="n"/>
      <c r="W298" s="55" t="n"/>
      <c r="X298" s="1" t="n"/>
    </row>
    <row r="299" ht="28.8" customHeight="1">
      <c r="C299" s="172" t="n"/>
      <c r="D299" s="172" t="n"/>
      <c r="E299" s="172" t="n"/>
      <c r="F299" s="172" t="n"/>
      <c r="G299" s="173" t="n"/>
      <c r="H299" s="171" t="n"/>
      <c r="I299" s="172" t="n"/>
      <c r="J299" s="172" t="n"/>
      <c r="K299" s="173" t="n"/>
      <c r="L299" s="171" t="n"/>
      <c r="M299" s="172" t="n"/>
      <c r="N299" s="175" t="n"/>
      <c r="O299" s="173" t="n"/>
      <c r="P299" s="46" t="inlineStr">
        <is>
          <t>Hatıl Betonu</t>
        </is>
      </c>
      <c r="Q299" s="47" t="n">
        <v>0.13</v>
      </c>
      <c r="R299" s="26" t="inlineStr">
        <is>
          <t>m³</t>
        </is>
      </c>
      <c r="S299" s="51" t="n"/>
      <c r="T299" s="168" t="n"/>
      <c r="U299" s="169" t="n"/>
      <c r="V299" s="51" t="n"/>
      <c r="W299" s="55" t="n"/>
      <c r="X299" s="1" t="n"/>
    </row>
    <row r="300" ht="28.8" customHeight="1">
      <c r="C300" s="3" t="inlineStr">
        <is>
          <t>267</t>
        </is>
      </c>
      <c r="D300" s="4" t="n">
        <v>46289</v>
      </c>
      <c r="E300" s="5" t="inlineStr">
        <is>
          <t>C3-C5</t>
        </is>
      </c>
      <c r="F300" s="3" t="inlineStr">
        <is>
          <t>MC10,MC11,MC06</t>
        </is>
      </c>
      <c r="G300" s="6" t="n"/>
      <c r="H300" s="12" t="n"/>
      <c r="I300" s="13" t="n"/>
      <c r="J300" s="13" t="n"/>
      <c r="K300" s="14" t="n"/>
      <c r="L300" s="18" t="n"/>
      <c r="M300" s="19" t="n"/>
      <c r="N300" s="32" t="n"/>
      <c r="O300" s="20" t="n"/>
      <c r="P300" s="46" t="inlineStr">
        <is>
          <t>1.3.2 Duvarlara Alçı Sıva Yapılması</t>
        </is>
      </c>
      <c r="Q300" s="47" t="n">
        <v>1701.0641</v>
      </c>
      <c r="R300" s="26" t="inlineStr">
        <is>
          <t>m²</t>
        </is>
      </c>
      <c r="S300" s="51" t="n"/>
      <c r="T300" s="168" t="n"/>
      <c r="U300" s="169" t="n"/>
      <c r="V300" s="51" t="n"/>
      <c r="W300" s="55" t="n"/>
      <c r="X300" s="1" t="n"/>
    </row>
    <row r="301" ht="28.8" customHeight="1">
      <c r="C301" s="172" t="n"/>
      <c r="D301" s="172" t="n"/>
      <c r="E301" s="172" t="n"/>
      <c r="F301" s="172" t="n"/>
      <c r="G301" s="173" t="n"/>
      <c r="H301" s="171" t="n"/>
      <c r="I301" s="172" t="n"/>
      <c r="J301" s="172" t="n"/>
      <c r="K301" s="173" t="n"/>
      <c r="L301" s="171" t="n"/>
      <c r="M301" s="172" t="n"/>
      <c r="N301" s="175" t="n"/>
      <c r="O301" s="173" t="n"/>
      <c r="P301" s="46" t="inlineStr">
        <is>
          <t>1.3.1 Duvarlara Çimento Esaslı Sıva Yapılması</t>
        </is>
      </c>
      <c r="Q301" s="47" t="n">
        <v>491.0851</v>
      </c>
      <c r="R301" s="26" t="inlineStr">
        <is>
          <t>m²</t>
        </is>
      </c>
      <c r="S301" s="51" t="n"/>
      <c r="T301" s="168" t="n"/>
      <c r="U301" s="169" t="n"/>
      <c r="V301" s="51" t="n"/>
      <c r="W301" s="55" t="n"/>
      <c r="X301" s="1" t="n"/>
    </row>
    <row r="302" ht="28.8" customHeight="1">
      <c r="C302" s="3" t="inlineStr">
        <is>
          <t>268</t>
        </is>
      </c>
      <c r="D302" s="4" t="n">
        <v>46286</v>
      </c>
      <c r="E302" s="5" t="inlineStr">
        <is>
          <t>C5</t>
        </is>
      </c>
      <c r="F302" s="3" t="inlineStr">
        <is>
          <t>20.20</t>
        </is>
      </c>
      <c r="G302" s="6" t="n"/>
      <c r="H302" s="12" t="n">
        <v>1</v>
      </c>
      <c r="I302" s="13" t="n"/>
      <c r="J302" s="13" t="n">
        <v>1</v>
      </c>
      <c r="K302" s="14" t="n"/>
      <c r="L302" s="18" t="n"/>
      <c r="M302" s="19" t="n"/>
      <c r="N302" s="32" t="n"/>
      <c r="O302" s="20" t="n"/>
      <c r="P302" s="46" t="inlineStr">
        <is>
          <t>40*20*1.5 mm Kutu Profil</t>
        </is>
      </c>
      <c r="Q302" s="47" t="n">
        <v>22.8</v>
      </c>
      <c r="R302" s="26" t="inlineStr">
        <is>
          <t>m</t>
        </is>
      </c>
      <c r="S302" s="51" t="n"/>
      <c r="T302" s="168" t="n"/>
      <c r="U302" s="169" t="n"/>
      <c r="V302" s="51" t="n"/>
      <c r="W302" s="55" t="n"/>
      <c r="X302" s="1" t="n"/>
    </row>
    <row r="303" ht="28.8" customHeight="1">
      <c r="C303" s="3" t="inlineStr">
        <is>
          <t>269</t>
        </is>
      </c>
      <c r="D303" s="4" t="n">
        <v>46287</v>
      </c>
      <c r="E303" s="5" t="inlineStr">
        <is>
          <t>C3</t>
        </is>
      </c>
      <c r="F303" s="3" t="inlineStr">
        <is>
          <t>0.20</t>
        </is>
      </c>
      <c r="G303" s="6" t="inlineStr">
        <is>
          <t>C-Z-311 , C-Z-319</t>
        </is>
      </c>
      <c r="H303" s="12" t="n">
        <v>2</v>
      </c>
      <c r="I303" s="13" t="n"/>
      <c r="J303" s="13" t="n">
        <v>2</v>
      </c>
      <c r="K303" s="14" t="n"/>
      <c r="L303" s="18" t="n"/>
      <c r="M303" s="19" t="n"/>
      <c r="N303" s="32" t="n"/>
      <c r="O303" s="20" t="n"/>
      <c r="P303" s="46" t="n"/>
      <c r="Q303" s="47" t="n"/>
      <c r="R303" s="26" t="n"/>
      <c r="S303" s="51" t="n"/>
      <c r="T303" s="168" t="n"/>
      <c r="U303" s="169" t="n"/>
      <c r="V303" s="51" t="n"/>
      <c r="W303" s="55" t="n"/>
      <c r="X303" s="1" t="n"/>
    </row>
    <row r="304" ht="28.8" customHeight="1">
      <c r="C304" s="3" t="inlineStr">
        <is>
          <t>270</t>
        </is>
      </c>
      <c r="D304" s="4" t="n">
        <v>46288</v>
      </c>
      <c r="E304" s="5" t="inlineStr">
        <is>
          <t>C3-C5</t>
        </is>
      </c>
      <c r="F304" s="3" t="inlineStr">
        <is>
          <t>15.20</t>
        </is>
      </c>
      <c r="G304" s="6" t="n"/>
      <c r="H304" s="12" t="n">
        <v>2</v>
      </c>
      <c r="I304" s="13" t="n"/>
      <c r="J304" s="13" t="n">
        <v>2</v>
      </c>
      <c r="K304" s="14" t="n"/>
      <c r="L304" s="18" t="n"/>
      <c r="M304" s="19" t="n"/>
      <c r="N304" s="32" t="n"/>
      <c r="O304" s="20" t="n"/>
      <c r="P304" s="46" t="n"/>
      <c r="Q304" s="47" t="n"/>
      <c r="R304" s="26" t="n"/>
      <c r="S304" s="51" t="n"/>
      <c r="T304" s="168" t="n"/>
      <c r="U304" s="169" t="n"/>
      <c r="V304" s="51" t="n"/>
      <c r="W304" s="55" t="n"/>
      <c r="X304" s="1" t="n"/>
    </row>
    <row r="305" ht="28.8" customHeight="1">
      <c r="C305" s="3" t="inlineStr">
        <is>
          <t>271</t>
        </is>
      </c>
      <c r="D305" s="4" t="n">
        <v>46290</v>
      </c>
      <c r="E305" s="5" t="inlineStr">
        <is>
          <t>C3</t>
        </is>
      </c>
      <c r="F305" s="3" t="n"/>
      <c r="G305" s="6" t="n"/>
      <c r="H305" s="12" t="n"/>
      <c r="I305" s="13" t="n"/>
      <c r="J305" s="13" t="n"/>
      <c r="K305" s="14" t="n"/>
      <c r="L305" s="18" t="n"/>
      <c r="M305" s="19" t="n"/>
      <c r="N305" s="32" t="n"/>
      <c r="O305" s="20" t="n"/>
      <c r="P305" s="46" t="inlineStr">
        <is>
          <t>Terazzo L Merdiven Süpürgeliği</t>
        </is>
      </c>
      <c r="Q305" s="47" t="n">
        <v>50</v>
      </c>
      <c r="R305" s="26" t="inlineStr">
        <is>
          <t>ad</t>
        </is>
      </c>
      <c r="S305" s="51" t="n"/>
      <c r="T305" s="168" t="n"/>
      <c r="U305" s="169" t="n"/>
      <c r="V305" s="51" t="n"/>
      <c r="W305" s="55" t="n"/>
      <c r="X305" s="1" t="n"/>
    </row>
    <row r="306" ht="28.8" customHeight="1">
      <c r="C306" s="3" t="inlineStr">
        <is>
          <t>272</t>
        </is>
      </c>
      <c r="D306" s="4" t="n">
        <v>46290</v>
      </c>
      <c r="E306" s="5" t="inlineStr">
        <is>
          <t>C5</t>
        </is>
      </c>
      <c r="F306" s="3" t="inlineStr">
        <is>
          <t>10.20</t>
        </is>
      </c>
      <c r="G306" s="6" t="n"/>
      <c r="H306" s="12" t="n">
        <v>1</v>
      </c>
      <c r="I306" s="13" t="n"/>
      <c r="J306" s="13" t="n">
        <v>1</v>
      </c>
      <c r="K306" s="14" t="n"/>
      <c r="L306" s="18" t="n"/>
      <c r="M306" s="19" t="n"/>
      <c r="N306" s="32" t="n"/>
      <c r="O306" s="20" t="n"/>
      <c r="P306" s="46" t="inlineStr">
        <is>
          <t>4 cm Mineral Yün</t>
        </is>
      </c>
      <c r="Q306" s="47" t="n">
        <v>29.4</v>
      </c>
      <c r="R306" s="26" t="inlineStr">
        <is>
          <t>m²</t>
        </is>
      </c>
      <c r="S306" s="51" t="n"/>
      <c r="T306" s="168" t="n"/>
      <c r="U306" s="169" t="n"/>
      <c r="V306" s="51" t="n"/>
      <c r="W306" s="55" t="n"/>
      <c r="X306" s="1" t="n"/>
    </row>
    <row r="307" ht="28.8" customHeight="1">
      <c r="C307" s="3" t="inlineStr">
        <is>
          <t>273</t>
        </is>
      </c>
      <c r="D307" s="4" t="n">
        <v>46291</v>
      </c>
      <c r="E307" s="5" t="inlineStr">
        <is>
          <t>C5</t>
        </is>
      </c>
      <c r="F307" s="3" t="inlineStr">
        <is>
          <t>0.20</t>
        </is>
      </c>
      <c r="G307" s="6" t="inlineStr">
        <is>
          <t>C-Z-225 , C-Z-226</t>
        </is>
      </c>
      <c r="H307" s="12" t="n">
        <v>1</v>
      </c>
      <c r="I307" s="13" t="n"/>
      <c r="J307" s="13" t="n"/>
      <c r="K307" s="14" t="n"/>
      <c r="L307" s="18" t="n"/>
      <c r="M307" s="19" t="n"/>
      <c r="N307" s="32" t="n"/>
      <c r="O307" s="20" t="n"/>
      <c r="P307" s="46" t="n"/>
      <c r="Q307" s="47" t="n"/>
      <c r="R307" s="26" t="n"/>
      <c r="S307" s="51" t="n"/>
      <c r="T307" s="168" t="n"/>
      <c r="U307" s="169" t="n"/>
      <c r="V307" s="51" t="n"/>
      <c r="W307" s="55" t="n"/>
      <c r="X307" s="1" t="n"/>
    </row>
    <row r="308" ht="28.8" customHeight="1">
      <c r="C308" s="3" t="inlineStr">
        <is>
          <t>274</t>
        </is>
      </c>
      <c r="D308" s="4" t="n">
        <v>46291</v>
      </c>
      <c r="E308" s="5" t="inlineStr">
        <is>
          <t>C3</t>
        </is>
      </c>
      <c r="F308" s="3" t="inlineStr">
        <is>
          <t>0.20</t>
        </is>
      </c>
      <c r="G308" s="6" t="inlineStr">
        <is>
          <t>C-Z-307</t>
        </is>
      </c>
      <c r="H308" s="12" t="n">
        <v>1</v>
      </c>
      <c r="I308" s="13" t="n"/>
      <c r="J308" s="13" t="n"/>
      <c r="K308" s="14" t="n"/>
      <c r="L308" s="18" t="n"/>
      <c r="M308" s="19" t="n"/>
      <c r="N308" s="32" t="n"/>
      <c r="O308" s="20" t="n"/>
      <c r="P308" s="46" t="n"/>
      <c r="Q308" s="47" t="n"/>
      <c r="R308" s="26" t="n"/>
      <c r="S308" s="51" t="n"/>
      <c r="T308" s="168" t="n"/>
      <c r="U308" s="169" t="n"/>
      <c r="V308" s="51" t="n"/>
      <c r="W308" s="55" t="n"/>
      <c r="X308" s="1" t="n"/>
    </row>
    <row r="309" ht="28.8" customHeight="1">
      <c r="C309" s="3" t="inlineStr">
        <is>
          <t>275</t>
        </is>
      </c>
      <c r="D309" s="4" t="n">
        <v>46291</v>
      </c>
      <c r="E309" s="5" t="inlineStr">
        <is>
          <t>C5</t>
        </is>
      </c>
      <c r="F309" s="3" t="inlineStr">
        <is>
          <t>20.20, 10.20</t>
        </is>
      </c>
      <c r="G309" s="6" t="n"/>
      <c r="H309" s="12" t="n">
        <v>2</v>
      </c>
      <c r="I309" s="13" t="n"/>
      <c r="J309" s="13" t="n">
        <v>2</v>
      </c>
      <c r="K309" s="14" t="n"/>
      <c r="L309" s="18" t="n"/>
      <c r="M309" s="19" t="n"/>
      <c r="N309" s="32" t="n"/>
      <c r="O309" s="20" t="n"/>
      <c r="P309" s="46" t="inlineStr">
        <is>
          <t>40*40*2 mm Kutu Profil</t>
        </is>
      </c>
      <c r="Q309" s="47" t="n">
        <v>30</v>
      </c>
      <c r="R309" s="26" t="inlineStr">
        <is>
          <t>m</t>
        </is>
      </c>
      <c r="S309" s="51" t="n"/>
      <c r="T309" s="168" t="n"/>
      <c r="U309" s="169" t="n"/>
      <c r="V309" s="51" t="n"/>
      <c r="W309" s="55" t="n"/>
      <c r="X309" s="1" t="n"/>
    </row>
    <row r="310" ht="28.8" customHeight="1">
      <c r="C310" s="172" t="n"/>
      <c r="D310" s="172" t="n"/>
      <c r="E310" s="172" t="n"/>
      <c r="F310" s="172" t="n"/>
      <c r="G310" s="173" t="n"/>
      <c r="H310" s="171" t="n"/>
      <c r="I310" s="172" t="n"/>
      <c r="J310" s="172" t="n"/>
      <c r="K310" s="173" t="n"/>
      <c r="L310" s="171" t="n"/>
      <c r="M310" s="172" t="n"/>
      <c r="N310" s="175" t="n"/>
      <c r="O310" s="173" t="n"/>
      <c r="P310" s="46" t="inlineStr">
        <is>
          <t>40*20*1.5 mm Kutu Profil</t>
        </is>
      </c>
      <c r="Q310" s="47" t="n">
        <v>24</v>
      </c>
      <c r="R310" s="26" t="inlineStr">
        <is>
          <t>m</t>
        </is>
      </c>
      <c r="S310" s="51" t="n"/>
      <c r="T310" s="168" t="n"/>
      <c r="U310" s="169" t="n"/>
      <c r="V310" s="51" t="n"/>
      <c r="W310" s="55" t="n"/>
      <c r="X310" s="1" t="n"/>
    </row>
    <row r="311" ht="28.8" customHeight="1">
      <c r="C311" s="3" t="inlineStr">
        <is>
          <t>276</t>
        </is>
      </c>
      <c r="D311" s="4" t="n">
        <v>46293</v>
      </c>
      <c r="E311" s="5" t="inlineStr">
        <is>
          <t>C3</t>
        </is>
      </c>
      <c r="F311" s="3" t="inlineStr">
        <is>
          <t>25.20</t>
        </is>
      </c>
      <c r="G311" s="6" t="n"/>
      <c r="H311" s="12" t="n"/>
      <c r="I311" s="13" t="n"/>
      <c r="J311" s="13" t="n">
        <v>2</v>
      </c>
      <c r="K311" s="14" t="n"/>
      <c r="L311" s="18" t="n"/>
      <c r="M311" s="19" t="n"/>
      <c r="N311" s="32" t="n"/>
      <c r="O311" s="20" t="n"/>
      <c r="P311" s="46" t="n"/>
      <c r="Q311" s="47" t="n"/>
      <c r="R311" s="26" t="n"/>
      <c r="S311" s="51" t="n"/>
      <c r="T311" s="168" t="n"/>
      <c r="U311" s="169" t="n"/>
      <c r="V311" s="51" t="n"/>
      <c r="W311" s="55" t="n"/>
      <c r="X311" s="1" t="n"/>
    </row>
    <row r="312" ht="28.8" customHeight="1">
      <c r="C312" s="3" t="inlineStr">
        <is>
          <t>277</t>
        </is>
      </c>
      <c r="D312" s="4" t="n">
        <v>46293</v>
      </c>
      <c r="E312" s="5" t="inlineStr">
        <is>
          <t>C3</t>
        </is>
      </c>
      <c r="F312" s="3" t="inlineStr">
        <is>
          <t>20.20</t>
        </is>
      </c>
      <c r="G312" s="6" t="n"/>
      <c r="H312" s="12" t="n"/>
      <c r="I312" s="13" t="n"/>
      <c r="J312" s="13" t="n">
        <v>1</v>
      </c>
      <c r="K312" s="14" t="n"/>
      <c r="L312" s="18" t="n"/>
      <c r="M312" s="19" t="n"/>
      <c r="N312" s="32" t="n"/>
      <c r="O312" s="20" t="n"/>
      <c r="P312" s="46" t="n"/>
      <c r="Q312" s="47" t="n"/>
      <c r="R312" s="26" t="n"/>
      <c r="S312" s="51" t="n"/>
      <c r="T312" s="168" t="n"/>
      <c r="U312" s="169" t="n"/>
      <c r="V312" s="51" t="n"/>
      <c r="W312" s="55" t="n"/>
      <c r="X312" s="1" t="n"/>
    </row>
    <row r="313" ht="28.8" customHeight="1">
      <c r="C313" s="3" t="inlineStr">
        <is>
          <t>278</t>
        </is>
      </c>
      <c r="D313" s="4" t="n">
        <v>46297</v>
      </c>
      <c r="E313" s="5" t="inlineStr">
        <is>
          <t>C3</t>
        </is>
      </c>
      <c r="F313" s="3" t="inlineStr">
        <is>
          <t>20.20</t>
        </is>
      </c>
      <c r="G313" s="6" t="n"/>
      <c r="H313" s="12" t="n">
        <v>1</v>
      </c>
      <c r="I313" s="13" t="n"/>
      <c r="J313" s="13" t="n">
        <v>1</v>
      </c>
      <c r="K313" s="14" t="n"/>
      <c r="L313" s="18" t="n"/>
      <c r="M313" s="19" t="n"/>
      <c r="N313" s="32" t="n"/>
      <c r="O313" s="20" t="n"/>
      <c r="P313" s="46" t="n"/>
      <c r="Q313" s="47" t="n"/>
      <c r="R313" s="26" t="n"/>
      <c r="S313" s="51" t="n"/>
      <c r="T313" s="168" t="n"/>
      <c r="U313" s="169" t="n"/>
      <c r="V313" s="51" t="n"/>
      <c r="W313" s="55" t="n"/>
      <c r="X313" s="1" t="n"/>
    </row>
    <row r="314" ht="28.8" customHeight="1">
      <c r="C314" s="3" t="inlineStr">
        <is>
          <t>279</t>
        </is>
      </c>
      <c r="D314" s="4" t="n">
        <v>46297</v>
      </c>
      <c r="E314" s="5" t="inlineStr">
        <is>
          <t>C6</t>
        </is>
      </c>
      <c r="F314" s="3" t="inlineStr">
        <is>
          <t>-4.80</t>
        </is>
      </c>
      <c r="G314" s="6" t="n"/>
      <c r="H314" s="12" t="n">
        <v>4</v>
      </c>
      <c r="I314" s="13" t="n"/>
      <c r="J314" s="13" t="n"/>
      <c r="K314" s="14" t="n"/>
      <c r="L314" s="18" t="n"/>
      <c r="M314" s="19" t="n"/>
      <c r="N314" s="32" t="n"/>
      <c r="O314" s="20" t="n"/>
      <c r="P314" s="46" t="n"/>
      <c r="Q314" s="47" t="n"/>
      <c r="R314" s="26" t="n"/>
      <c r="S314" s="51" t="n"/>
      <c r="T314" s="168" t="n"/>
      <c r="U314" s="169" t="n"/>
      <c r="V314" s="51" t="n"/>
      <c r="W314" s="55" t="n"/>
      <c r="X314" s="1" t="n"/>
    </row>
    <row r="315" ht="28.8" customHeight="1">
      <c r="C315" s="3" t="inlineStr">
        <is>
          <t>280</t>
        </is>
      </c>
      <c r="D315" s="4" t="n">
        <v>46298</v>
      </c>
      <c r="E315" s="5" t="inlineStr">
        <is>
          <t>C6</t>
        </is>
      </c>
      <c r="F315" s="3" t="inlineStr">
        <is>
          <t>-4.80</t>
        </is>
      </c>
      <c r="G315" s="6" t="n"/>
      <c r="H315" s="12" t="n">
        <v>4</v>
      </c>
      <c r="I315" s="13" t="n"/>
      <c r="J315" s="13" t="n"/>
      <c r="K315" s="14" t="n"/>
      <c r="L315" s="18" t="n"/>
      <c r="M315" s="19" t="n"/>
      <c r="N315" s="32" t="n"/>
      <c r="O315" s="20" t="n"/>
      <c r="P315" s="46" t="n"/>
      <c r="Q315" s="47" t="n"/>
      <c r="R315" s="26" t="n"/>
      <c r="S315" s="51" t="n"/>
      <c r="T315" s="168" t="n"/>
      <c r="U315" s="169" t="n"/>
      <c r="V315" s="51" t="n"/>
      <c r="W315" s="55" t="n"/>
      <c r="X315" s="1" t="n"/>
    </row>
    <row r="316" ht="28.8" customHeight="1">
      <c r="C316" s="3" t="inlineStr">
        <is>
          <t>281</t>
        </is>
      </c>
      <c r="D316" s="4" t="n">
        <v>46299</v>
      </c>
      <c r="E316" s="5" t="inlineStr">
        <is>
          <t>C6</t>
        </is>
      </c>
      <c r="F316" s="3" t="inlineStr">
        <is>
          <t>-4.80</t>
        </is>
      </c>
      <c r="G316" s="6" t="n"/>
      <c r="H316" s="12" t="n">
        <v>4</v>
      </c>
      <c r="I316" s="13" t="n"/>
      <c r="J316" s="13" t="n"/>
      <c r="K316" s="14" t="n"/>
      <c r="L316" s="18" t="n"/>
      <c r="M316" s="19" t="n"/>
      <c r="N316" s="32" t="n"/>
      <c r="O316" s="20" t="n"/>
      <c r="P316" s="46" t="n"/>
      <c r="Q316" s="47" t="n"/>
      <c r="R316" s="26" t="n"/>
      <c r="S316" s="51" t="n"/>
      <c r="T316" s="168" t="n"/>
      <c r="U316" s="169" t="n"/>
      <c r="V316" s="51" t="n"/>
      <c r="W316" s="55" t="n"/>
      <c r="X316" s="1" t="n"/>
    </row>
    <row r="317" ht="28.8" customHeight="1">
      <c r="C317" s="3" t="inlineStr">
        <is>
          <t>282</t>
        </is>
      </c>
      <c r="D317" s="4" t="n">
        <v>46300</v>
      </c>
      <c r="E317" s="5" t="inlineStr">
        <is>
          <t>C6</t>
        </is>
      </c>
      <c r="F317" s="3" t="inlineStr">
        <is>
          <t>-4.80</t>
        </is>
      </c>
      <c r="G317" s="6" t="n"/>
      <c r="H317" s="12" t="n">
        <v>4</v>
      </c>
      <c r="I317" s="13" t="n"/>
      <c r="J317" s="13" t="n"/>
      <c r="K317" s="14" t="n"/>
      <c r="L317" s="18" t="n"/>
      <c r="M317" s="19" t="n"/>
      <c r="N317" s="32" t="n"/>
      <c r="O317" s="20" t="n"/>
      <c r="P317" s="46" t="n"/>
      <c r="Q317" s="47" t="n"/>
      <c r="R317" s="26" t="n"/>
      <c r="S317" s="51" t="n"/>
      <c r="T317" s="168" t="n"/>
      <c r="U317" s="169" t="n"/>
      <c r="V317" s="51" t="n"/>
      <c r="W317" s="55" t="n"/>
      <c r="X317" s="1" t="n"/>
    </row>
    <row r="318" ht="28.8" customHeight="1">
      <c r="C318" s="3" t="inlineStr">
        <is>
          <t>283</t>
        </is>
      </c>
      <c r="D318" s="4" t="n">
        <v>46301</v>
      </c>
      <c r="E318" s="5" t="inlineStr">
        <is>
          <t>C6</t>
        </is>
      </c>
      <c r="F318" s="3" t="inlineStr">
        <is>
          <t>-4.80</t>
        </is>
      </c>
      <c r="G318" s="6" t="n"/>
      <c r="H318" s="12" t="n">
        <v>4</v>
      </c>
      <c r="I318" s="13" t="n"/>
      <c r="J318" s="13" t="n"/>
      <c r="K318" s="14" t="n"/>
      <c r="L318" s="18" t="n"/>
      <c r="M318" s="19" t="n"/>
      <c r="N318" s="32" t="n"/>
      <c r="O318" s="20" t="n"/>
      <c r="P318" s="46" t="n"/>
      <c r="Q318" s="47" t="n"/>
      <c r="R318" s="26" t="n"/>
      <c r="S318" s="51" t="n"/>
      <c r="T318" s="168" t="n"/>
      <c r="U318" s="169" t="n"/>
      <c r="V318" s="51" t="n"/>
      <c r="W318" s="55" t="n"/>
      <c r="X318" s="1" t="n"/>
    </row>
    <row r="319" ht="28.8" customHeight="1">
      <c r="C319" s="3" t="inlineStr">
        <is>
          <t>284</t>
        </is>
      </c>
      <c r="D319" s="4" t="n">
        <v>46301</v>
      </c>
      <c r="E319" s="5" t="inlineStr">
        <is>
          <t>C5</t>
        </is>
      </c>
      <c r="F319" s="3" t="inlineStr">
        <is>
          <t>25.20</t>
        </is>
      </c>
      <c r="G319" s="6" t="n"/>
      <c r="H319" s="12" t="n"/>
      <c r="I319" s="13" t="n"/>
      <c r="J319" s="13" t="n">
        <v>2</v>
      </c>
      <c r="K319" s="14" t="n"/>
      <c r="L319" s="18" t="n"/>
      <c r="M319" s="19" t="n"/>
      <c r="N319" s="32" t="n"/>
      <c r="O319" s="20" t="n"/>
      <c r="P319" s="46" t="n"/>
      <c r="Q319" s="47" t="n"/>
      <c r="R319" s="26" t="n"/>
      <c r="S319" s="51" t="n"/>
      <c r="T319" s="168" t="n"/>
      <c r="U319" s="169" t="n"/>
      <c r="V319" s="51" t="n"/>
      <c r="W319" s="55" t="n"/>
      <c r="X319" s="1" t="n"/>
    </row>
    <row r="320" ht="28.8" customHeight="1">
      <c r="C320" s="3" t="inlineStr">
        <is>
          <t>285</t>
        </is>
      </c>
      <c r="D320" s="4" t="n">
        <v>46301</v>
      </c>
      <c r="E320" s="5" t="inlineStr">
        <is>
          <t>C5</t>
        </is>
      </c>
      <c r="F320" s="3" t="inlineStr">
        <is>
          <t>20.20</t>
        </is>
      </c>
      <c r="G320" s="6" t="n"/>
      <c r="H320" s="12" t="n"/>
      <c r="I320" s="13" t="n"/>
      <c r="J320" s="13" t="n">
        <v>2</v>
      </c>
      <c r="K320" s="14" t="n"/>
      <c r="L320" s="18" t="n"/>
      <c r="M320" s="19" t="n"/>
      <c r="N320" s="32" t="n"/>
      <c r="O320" s="20" t="n"/>
      <c r="P320" s="46" t="n"/>
      <c r="Q320" s="47" t="n"/>
      <c r="R320" s="26" t="n"/>
      <c r="S320" s="51" t="n"/>
      <c r="T320" s="168" t="n"/>
      <c r="U320" s="169" t="n"/>
      <c r="V320" s="51" t="n"/>
      <c r="W320" s="55" t="n"/>
      <c r="X320" s="1" t="n"/>
    </row>
    <row r="321" ht="24.9" customHeight="1"/>
    <row r="322" ht="24.9" customHeight="1"/>
    <row r="323" ht="24.9" customHeight="1"/>
    <row r="324" ht="24.9" customHeight="1"/>
  </sheetData>
  <mergeCells count="298">
    <mergeCell ref="T77:U77"/>
    <mergeCell ref="H231:H232"/>
    <mergeCell ref="J231:J232"/>
    <mergeCell ref="M285:M288"/>
    <mergeCell ref="T49:U49"/>
    <mergeCell ref="F292:F293"/>
    <mergeCell ref="G296:G299"/>
    <mergeCell ref="B238:B239"/>
    <mergeCell ref="C16:C17"/>
    <mergeCell ref="I296:I299"/>
    <mergeCell ref="I159:I160"/>
    <mergeCell ref="T42:U42"/>
    <mergeCell ref="N238:N239"/>
    <mergeCell ref="L5:L6"/>
    <mergeCell ref="N5:N6"/>
    <mergeCell ref="T78:U78"/>
    <mergeCell ref="G292:G293"/>
    <mergeCell ref="H159:H160"/>
    <mergeCell ref="I292:I293"/>
    <mergeCell ref="T50:U50"/>
    <mergeCell ref="T62:U62"/>
    <mergeCell ref="M296:M299"/>
    <mergeCell ref="T44:U44"/>
    <mergeCell ref="O296:O299"/>
    <mergeCell ref="K195:K196"/>
    <mergeCell ref="T80:U80"/>
    <mergeCell ref="M195:M196"/>
    <mergeCell ref="C300:C301"/>
    <mergeCell ref="E300:E301"/>
    <mergeCell ref="G5:G6"/>
    <mergeCell ref="T12:U12"/>
    <mergeCell ref="T64:U64"/>
    <mergeCell ref="T104:U104"/>
    <mergeCell ref="J265:J266"/>
    <mergeCell ref="T51:U51"/>
    <mergeCell ref="L3:O3"/>
    <mergeCell ref="T113:U113"/>
    <mergeCell ref="G231:G232"/>
    <mergeCell ref="I231:I232"/>
    <mergeCell ref="T61:U61"/>
    <mergeCell ref="T119:U119"/>
    <mergeCell ref="D279:D280"/>
    <mergeCell ref="N195:N196"/>
    <mergeCell ref="T70:U70"/>
    <mergeCell ref="T41:U41"/>
    <mergeCell ref="H296:H299"/>
    <mergeCell ref="J296:J299"/>
    <mergeCell ref="M309:M310"/>
    <mergeCell ref="T81:U81"/>
    <mergeCell ref="T7:U7"/>
    <mergeCell ref="T56:U56"/>
    <mergeCell ref="T96:U96"/>
    <mergeCell ref="T90:U90"/>
    <mergeCell ref="T105:U105"/>
    <mergeCell ref="M231:M232"/>
    <mergeCell ref="T43:U43"/>
    <mergeCell ref="T99:U99"/>
    <mergeCell ref="I279:I280"/>
    <mergeCell ref="T27:U27"/>
    <mergeCell ref="B159:B160"/>
    <mergeCell ref="E238:E239"/>
    <mergeCell ref="T98:U98"/>
    <mergeCell ref="T67:U67"/>
    <mergeCell ref="G238:G239"/>
    <mergeCell ref="T107:U107"/>
    <mergeCell ref="O5:O6"/>
    <mergeCell ref="T101:U101"/>
    <mergeCell ref="C265:C266"/>
    <mergeCell ref="E265:E266"/>
    <mergeCell ref="T24:U24"/>
    <mergeCell ref="T33:U33"/>
    <mergeCell ref="T82:U82"/>
    <mergeCell ref="T91:U91"/>
    <mergeCell ref="M279:M280"/>
    <mergeCell ref="O279:O280"/>
    <mergeCell ref="B292:B293"/>
    <mergeCell ref="L292:L293"/>
    <mergeCell ref="D195:D196"/>
    <mergeCell ref="N292:N293"/>
    <mergeCell ref="F5:F6"/>
    <mergeCell ref="F309:F310"/>
    <mergeCell ref="L279:L280"/>
    <mergeCell ref="T53:U53"/>
    <mergeCell ref="T35:U35"/>
    <mergeCell ref="T93:U93"/>
    <mergeCell ref="H300:H301"/>
    <mergeCell ref="K292:K293"/>
    <mergeCell ref="J300:J301"/>
    <mergeCell ref="T10:U10"/>
    <mergeCell ref="T68:U68"/>
    <mergeCell ref="T25:U25"/>
    <mergeCell ref="T108:U108"/>
    <mergeCell ref="T117:U117"/>
    <mergeCell ref="T55:U55"/>
    <mergeCell ref="O265:O266"/>
    <mergeCell ref="K159:K160"/>
    <mergeCell ref="G195:G196"/>
    <mergeCell ref="J285:J288"/>
    <mergeCell ref="T9:U9"/>
    <mergeCell ref="H238:H239"/>
    <mergeCell ref="B2:X2"/>
    <mergeCell ref="X5:X6"/>
    <mergeCell ref="T92:U92"/>
    <mergeCell ref="P3:R3"/>
    <mergeCell ref="T118:U118"/>
    <mergeCell ref="T110:U110"/>
    <mergeCell ref="L265:L266"/>
    <mergeCell ref="N265:N266"/>
    <mergeCell ref="G285:G288"/>
    <mergeCell ref="F231:F232"/>
    <mergeCell ref="I285:I288"/>
    <mergeCell ref="T11:U11"/>
    <mergeCell ref="T100:U100"/>
    <mergeCell ref="T94:U94"/>
    <mergeCell ref="T109:U109"/>
    <mergeCell ref="G309:G310"/>
    <mergeCell ref="C296:C299"/>
    <mergeCell ref="O300:O301"/>
    <mergeCell ref="I309:I310"/>
    <mergeCell ref="T22:U22"/>
    <mergeCell ref="T66:U66"/>
    <mergeCell ref="E159:E160"/>
    <mergeCell ref="N279:N280"/>
    <mergeCell ref="T31:U31"/>
    <mergeCell ref="T75:U75"/>
    <mergeCell ref="C19:C20"/>
    <mergeCell ref="B3:G3"/>
    <mergeCell ref="J238:J239"/>
    <mergeCell ref="L238:L239"/>
    <mergeCell ref="B296:B299"/>
    <mergeCell ref="F279:F280"/>
    <mergeCell ref="T72:U72"/>
    <mergeCell ref="C292:C293"/>
    <mergeCell ref="T86:U86"/>
    <mergeCell ref="D159:D160"/>
    <mergeCell ref="E292:E293"/>
    <mergeCell ref="T37:U37"/>
    <mergeCell ref="T95:U95"/>
    <mergeCell ref="I195:I196"/>
    <mergeCell ref="K5:K6"/>
    <mergeCell ref="K309:K310"/>
    <mergeCell ref="C5:C6"/>
    <mergeCell ref="M5:M6"/>
    <mergeCell ref="T57:U57"/>
    <mergeCell ref="E5:E6"/>
    <mergeCell ref="F265:F266"/>
    <mergeCell ref="T15:U15"/>
    <mergeCell ref="H3:K3"/>
    <mergeCell ref="T120:U120"/>
    <mergeCell ref="T29:U29"/>
    <mergeCell ref="C231:C232"/>
    <mergeCell ref="K231:K232"/>
    <mergeCell ref="F285:F288"/>
    <mergeCell ref="T38:U38"/>
    <mergeCell ref="E231:E232"/>
    <mergeCell ref="L296:L299"/>
    <mergeCell ref="F296:F299"/>
    <mergeCell ref="N159:N160"/>
    <mergeCell ref="J195:J196"/>
    <mergeCell ref="N296:N299"/>
    <mergeCell ref="B195:B196"/>
    <mergeCell ref="L195:L196"/>
    <mergeCell ref="T122:U122"/>
    <mergeCell ref="K238:K239"/>
    <mergeCell ref="O285:O288"/>
    <mergeCell ref="B231:B232"/>
    <mergeCell ref="G279:G280"/>
    <mergeCell ref="D300:D301"/>
    <mergeCell ref="T58:U58"/>
    <mergeCell ref="T54:U54"/>
    <mergeCell ref="L285:L288"/>
    <mergeCell ref="T106:U106"/>
    <mergeCell ref="T63:U63"/>
    <mergeCell ref="T121:U121"/>
    <mergeCell ref="E279:E280"/>
    <mergeCell ref="N285:N288"/>
    <mergeCell ref="J309:J310"/>
    <mergeCell ref="L309:L310"/>
    <mergeCell ref="T74:U74"/>
    <mergeCell ref="C238:C239"/>
    <mergeCell ref="N309:N310"/>
    <mergeCell ref="T71:U71"/>
    <mergeCell ref="T83:U83"/>
    <mergeCell ref="T123:U123"/>
    <mergeCell ref="B279:B280"/>
    <mergeCell ref="S3:V3"/>
    <mergeCell ref="T40:U40"/>
    <mergeCell ref="L231:L232"/>
    <mergeCell ref="N231:N232"/>
    <mergeCell ref="K279:K280"/>
    <mergeCell ref="T76:U76"/>
    <mergeCell ref="H292:H293"/>
    <mergeCell ref="C7:C8"/>
    <mergeCell ref="T85:U85"/>
    <mergeCell ref="J292:J293"/>
    <mergeCell ref="T8:U8"/>
    <mergeCell ref="K296:K299"/>
    <mergeCell ref="T60:U60"/>
    <mergeCell ref="T17:U17"/>
    <mergeCell ref="T69:U69"/>
    <mergeCell ref="T84:U84"/>
    <mergeCell ref="M159:M160"/>
    <mergeCell ref="B265:B266"/>
    <mergeCell ref="D265:D266"/>
    <mergeCell ref="H5:H6"/>
    <mergeCell ref="J5:J6"/>
    <mergeCell ref="K265:K266"/>
    <mergeCell ref="T6:U6"/>
    <mergeCell ref="J159:J160"/>
    <mergeCell ref="T19:U19"/>
    <mergeCell ref="T34:U34"/>
    <mergeCell ref="T46:U46"/>
    <mergeCell ref="G159:G160"/>
    <mergeCell ref="T28:U28"/>
    <mergeCell ref="C195:C196"/>
    <mergeCell ref="E195:E196"/>
    <mergeCell ref="T111:U111"/>
    <mergeCell ref="K285:K288"/>
    <mergeCell ref="O195:O196"/>
    <mergeCell ref="H265:H266"/>
    <mergeCell ref="G300:G301"/>
    <mergeCell ref="T39:U39"/>
    <mergeCell ref="I300:I301"/>
    <mergeCell ref="E285:E288"/>
    <mergeCell ref="T48:U48"/>
    <mergeCell ref="T30:U30"/>
    <mergeCell ref="T5:U5"/>
    <mergeCell ref="T20:U20"/>
    <mergeCell ref="T32:U32"/>
    <mergeCell ref="C309:C310"/>
    <mergeCell ref="T14:U14"/>
    <mergeCell ref="T45:U45"/>
    <mergeCell ref="E309:E310"/>
    <mergeCell ref="T103:U103"/>
    <mergeCell ref="T97:U97"/>
    <mergeCell ref="T112:U112"/>
    <mergeCell ref="H279:H280"/>
    <mergeCell ref="J279:J280"/>
    <mergeCell ref="D238:D239"/>
    <mergeCell ref="C285:C288"/>
    <mergeCell ref="K300:K301"/>
    <mergeCell ref="F238:F239"/>
    <mergeCell ref="M300:M301"/>
    <mergeCell ref="T47:U47"/>
    <mergeCell ref="T4:U4"/>
    <mergeCell ref="O309:O310"/>
    <mergeCell ref="T87:U87"/>
    <mergeCell ref="T65:U65"/>
    <mergeCell ref="O231:O232"/>
    <mergeCell ref="T114:U114"/>
    <mergeCell ref="T59:U59"/>
    <mergeCell ref="M292:M293"/>
    <mergeCell ref="D296:D299"/>
    <mergeCell ref="T89:U89"/>
    <mergeCell ref="O292:O293"/>
    <mergeCell ref="F159:F160"/>
    <mergeCell ref="I238:I239"/>
    <mergeCell ref="I5:I6"/>
    <mergeCell ref="T21:U21"/>
    <mergeCell ref="T79:U79"/>
    <mergeCell ref="T73:U73"/>
    <mergeCell ref="T88:U88"/>
    <mergeCell ref="G265:G266"/>
    <mergeCell ref="T26:U26"/>
    <mergeCell ref="I265:I266"/>
    <mergeCell ref="C159:C160"/>
    <mergeCell ref="D292:D293"/>
    <mergeCell ref="B285:B288"/>
    <mergeCell ref="D285:D288"/>
    <mergeCell ref="O159:O160"/>
    <mergeCell ref="F195:F196"/>
    <mergeCell ref="T23:U23"/>
    <mergeCell ref="M238:M239"/>
    <mergeCell ref="L159:L160"/>
    <mergeCell ref="H195:H196"/>
    <mergeCell ref="O238:O239"/>
    <mergeCell ref="T13:U13"/>
    <mergeCell ref="B5:B6"/>
    <mergeCell ref="M265:M266"/>
    <mergeCell ref="D5:D6"/>
    <mergeCell ref="B300:B301"/>
    <mergeCell ref="B309:B310"/>
    <mergeCell ref="L300:L301"/>
    <mergeCell ref="T16:U16"/>
    <mergeCell ref="D309:D310"/>
    <mergeCell ref="N300:N301"/>
    <mergeCell ref="T52:U52"/>
    <mergeCell ref="D231:D232"/>
    <mergeCell ref="E296:E299"/>
    <mergeCell ref="T115:U115"/>
    <mergeCell ref="C279:C280"/>
    <mergeCell ref="F300:F301"/>
    <mergeCell ref="T36:U36"/>
    <mergeCell ref="H309:H310"/>
    <mergeCell ref="T18:U18"/>
    <mergeCell ref="T102:U102"/>
    <mergeCell ref="T116:U116"/>
    <mergeCell ref="H285:H288"/>
  </mergeCells>
  <pageMargins left="0.7" right="0.7" top="0.75" bottom="0.75" header="0.3" footer="0.3"/>
  <pageSetup orientation="portrait" paperSize="9" scale="29"/>
</worksheet>
</file>

<file path=xl/worksheets/sheet2.xml><?xml version="1.0" encoding="utf-8"?>
<worksheet xmlns="http://schemas.openxmlformats.org/spreadsheetml/2006/main">
  <sheetPr>
    <outlinePr summaryBelow="1" summaryRight="1"/>
    <pageSetUpPr/>
  </sheetPr>
  <dimension ref="A2:P562"/>
  <sheetViews>
    <sheetView tabSelected="1" workbookViewId="0">
      <pane ySplit="3" topLeftCell="A93" activePane="bottomLeft" state="frozen"/>
      <selection activeCell="F1" sqref="F1"/>
      <selection pane="bottomLeft" activeCell="F103" sqref="F103:F104"/>
    </sheetView>
  </sheetViews>
  <sheetFormatPr baseColWidth="8" defaultRowHeight="14.4"/>
  <cols>
    <col width="5.5546875" customWidth="1" min="1" max="1"/>
    <col width="10.109375" bestFit="1" customWidth="1" min="2" max="2"/>
    <col width="13.21875" customWidth="1" min="3" max="3"/>
    <col width="42.5546875" customWidth="1" style="77" min="4" max="4"/>
    <col width="25.77734375" customWidth="1" min="5" max="5"/>
    <col width="7.6640625" bestFit="1" customWidth="1" min="6" max="6"/>
    <col width="11.33203125" bestFit="1" customWidth="1" style="180" min="8" max="8"/>
    <col width="17.44140625" bestFit="1" customWidth="1" style="180" min="9" max="9"/>
    <col width="34" customWidth="1" min="10" max="10"/>
    <col width="6.21875" bestFit="1" customWidth="1" min="11" max="11"/>
    <col width="13.77734375" customWidth="1" min="13" max="13"/>
    <col width="11.6640625" customWidth="1" min="14" max="14"/>
    <col width="14" customWidth="1" min="15" max="15"/>
    <col width="13.44140625" customWidth="1" min="16" max="16"/>
  </cols>
  <sheetData>
    <row r="1" ht="15" customHeight="1" thickBot="1"/>
    <row r="2" ht="46.2" customHeight="1" thickBot="1">
      <c r="B2" s="181" t="inlineStr">
        <is>
          <t>ANKARA ADALET SARAYI PROJESİ SÜLSER MÜHENDİSLİK İLAVE İŞLER TAKİP FORMU</t>
        </is>
      </c>
      <c r="C2" s="150" t="n"/>
      <c r="D2" s="150" t="n"/>
      <c r="E2" s="150" t="n"/>
      <c r="F2" s="150" t="n"/>
      <c r="G2" s="150" t="n"/>
      <c r="H2" s="150" t="n"/>
      <c r="I2" s="150" t="n"/>
      <c r="J2" s="150" t="n"/>
      <c r="K2" s="150" t="n"/>
      <c r="L2" s="150" t="n"/>
      <c r="M2" s="150" t="n"/>
      <c r="N2" s="150" t="n"/>
      <c r="O2" s="150" t="n"/>
      <c r="P2" s="151" t="n"/>
    </row>
    <row r="3" ht="37.2" customFormat="1" customHeight="1" s="59">
      <c r="B3" s="60" t="inlineStr">
        <is>
          <t>Tarih</t>
        </is>
      </c>
      <c r="C3" s="60" t="inlineStr">
        <is>
          <t>Tutanak No</t>
        </is>
      </c>
      <c r="D3" s="60" t="inlineStr">
        <is>
          <t>İmalat Açıklaması</t>
        </is>
      </c>
      <c r="E3" s="60" t="inlineStr">
        <is>
          <t>Yevmiye Detayı</t>
        </is>
      </c>
      <c r="F3" s="60" t="inlineStr">
        <is>
          <t>Birim</t>
        </is>
      </c>
      <c r="G3" s="60" t="inlineStr">
        <is>
          <t>Miktar</t>
        </is>
      </c>
      <c r="H3" s="182" t="inlineStr">
        <is>
          <t>Ücret</t>
        </is>
      </c>
      <c r="I3" s="182" t="inlineStr">
        <is>
          <t>Toplam Ücret</t>
        </is>
      </c>
      <c r="J3" s="60" t="inlineStr">
        <is>
          <t xml:space="preserve"> Malzeme Açıklaması</t>
        </is>
      </c>
      <c r="K3" s="60" t="inlineStr">
        <is>
          <t>Birim</t>
        </is>
      </c>
      <c r="L3" s="60" t="inlineStr">
        <is>
          <t>Miktar</t>
        </is>
      </c>
      <c r="M3" s="60" t="inlineStr">
        <is>
          <t>Hakediş Durumu</t>
        </is>
      </c>
      <c r="N3" s="60" t="inlineStr">
        <is>
          <t>Hakediş No</t>
        </is>
      </c>
      <c r="O3" s="60" t="inlineStr">
        <is>
          <t>Birim Fiyat (TL)</t>
        </is>
      </c>
      <c r="P3" s="60" t="inlineStr">
        <is>
          <t>Toplam Tutar (TL)</t>
        </is>
      </c>
    </row>
    <row r="4" ht="25.2" customFormat="1" customHeight="1" s="59">
      <c r="B4" s="62" t="n">
        <v>45967</v>
      </c>
      <c r="C4" s="61" t="n">
        <v>1</v>
      </c>
      <c r="D4" s="78" t="inlineStr">
        <is>
          <t>C5 0.20 C-Z-104 mahali betonarme bozuk olduğu için rec tarafından taksimat söktürüldü.</t>
        </is>
      </c>
      <c r="E4" s="61" t="inlineStr">
        <is>
          <t>1 Usta</t>
        </is>
      </c>
      <c r="F4" s="61" t="inlineStr">
        <is>
          <t>yevmiye</t>
        </is>
      </c>
      <c r="G4" s="61" t="n">
        <v>1</v>
      </c>
      <c r="H4" s="183" t="n"/>
      <c r="I4" s="183">
        <f>+G4*H4</f>
        <v/>
      </c>
      <c r="J4" s="61" t="n"/>
      <c r="K4" s="61" t="n"/>
      <c r="L4" s="61" t="n"/>
      <c r="M4" s="61" t="n"/>
      <c r="N4" s="61" t="n"/>
      <c r="O4" s="61" t="n"/>
      <c r="P4" s="61" t="n"/>
    </row>
    <row r="5" ht="28.8" customFormat="1" customHeight="1" s="59">
      <c r="B5" s="62" t="n">
        <v>45967</v>
      </c>
      <c r="C5" s="61" t="n">
        <v>2</v>
      </c>
      <c r="D5" s="78" t="inlineStr">
        <is>
          <t>C Blok alt zemin kat C-AZ-202 ve C-AZ-203 mahallerinde bulunan alçıpan duvar imalatlarına ait DU profilleri, saha içi sirkülasyon sırasında mekanik darbelere maruz kalarak deformasyona uğramıştır.Deforme olan profiller tespit edilerek sökülmüş, yerine yeni DU profilleri montajı gerçekleştirilmiştir.</t>
        </is>
      </c>
      <c r="E5" s="63" t="inlineStr">
        <is>
          <t>2 Usta
1 Usta Yard.</t>
        </is>
      </c>
      <c r="F5" s="61" t="inlineStr">
        <is>
          <t>yevmiye</t>
        </is>
      </c>
      <c r="G5" s="61" t="n">
        <v>2</v>
      </c>
      <c r="H5" s="184" t="n"/>
      <c r="I5" s="184">
        <f>+G5*H5</f>
        <v/>
      </c>
      <c r="J5" s="61" t="inlineStr">
        <is>
          <t>DU100</t>
        </is>
      </c>
      <c r="K5" s="61" t="inlineStr">
        <is>
          <t>m</t>
        </is>
      </c>
      <c r="L5" s="61" t="n">
        <v>70</v>
      </c>
      <c r="M5" s="61" t="n"/>
      <c r="N5" s="61" t="n"/>
      <c r="O5" s="61" t="n"/>
      <c r="P5" s="61" t="n"/>
    </row>
    <row r="6" ht="26.4" customFormat="1" customHeight="1" s="59">
      <c r="B6" s="185" t="n"/>
      <c r="C6" s="185" t="n"/>
      <c r="D6" s="185" t="n"/>
      <c r="E6" s="185" t="n"/>
      <c r="F6" s="185" t="n"/>
      <c r="G6" s="61" t="n">
        <v>1</v>
      </c>
      <c r="H6" s="186" t="n"/>
      <c r="I6" s="186">
        <f>+G6*H6</f>
        <v/>
      </c>
      <c r="J6" s="61" t="inlineStr">
        <is>
          <t>DU50</t>
        </is>
      </c>
      <c r="K6" s="61" t="inlineStr">
        <is>
          <t>m</t>
        </is>
      </c>
      <c r="L6" s="61" t="n">
        <v>15</v>
      </c>
      <c r="M6" s="61" t="n"/>
      <c r="N6" s="61" t="n"/>
      <c r="O6" s="61" t="n"/>
      <c r="P6" s="61" t="n"/>
    </row>
    <row r="7" ht="28.8" customFormat="1" customHeight="1" s="59">
      <c r="B7" s="62" t="n">
        <v>45969</v>
      </c>
      <c r="C7" s="61" t="n">
        <v>3</v>
      </c>
      <c r="D7" s="78" t="inlineStr">
        <is>
          <t>C7 Blok -10.60 kotunda bulunan gazbeton duvar imalatı, saha içi taşıma ve malzeme hareketleri sırasında yıkılmıştır.
Durum fotoğraf ile kayıt altına alınmış olup, yıkılan duvar proje doğrultusunda yeniden yapılmıştır.</t>
        </is>
      </c>
      <c r="E7" s="63" t="inlineStr">
        <is>
          <t>1 Usta
1 Usta Yard.</t>
        </is>
      </c>
      <c r="F7" s="61" t="inlineStr">
        <is>
          <t>yevmiye</t>
        </is>
      </c>
      <c r="G7" s="61" t="n">
        <v>1</v>
      </c>
      <c r="H7" s="183" t="n"/>
      <c r="I7" s="183">
        <f>+G7*H7</f>
        <v/>
      </c>
      <c r="J7" s="61" t="inlineStr">
        <is>
          <t>20 cm gazbeton</t>
        </is>
      </c>
      <c r="K7" s="61" t="inlineStr">
        <is>
          <t>m²</t>
        </is>
      </c>
      <c r="L7" s="61" t="n">
        <v>14.5</v>
      </c>
      <c r="M7" s="61" t="n"/>
      <c r="N7" s="61" t="n"/>
      <c r="O7" s="61" t="n"/>
      <c r="P7" s="61" t="n"/>
    </row>
    <row r="8" ht="28.8" customFormat="1" customHeight="1" s="59">
      <c r="B8" s="185" t="n"/>
      <c r="C8" s="185" t="n"/>
      <c r="D8" s="185" t="n"/>
      <c r="E8" s="185" t="n"/>
      <c r="F8" s="185" t="n"/>
      <c r="G8" s="61" t="n">
        <v>1</v>
      </c>
      <c r="H8" s="183" t="n"/>
      <c r="I8" s="183">
        <f>+G8*H8</f>
        <v/>
      </c>
      <c r="J8" s="185" t="n"/>
      <c r="K8" s="185" t="n"/>
      <c r="L8" s="185" t="n"/>
      <c r="M8" s="61" t="n"/>
      <c r="N8" s="61" t="n"/>
      <c r="O8" s="61" t="n"/>
      <c r="P8" s="61" t="n"/>
    </row>
    <row r="9" ht="28.8" customFormat="1" customHeight="1" s="59">
      <c r="B9" s="62" t="n">
        <v>45971</v>
      </c>
      <c r="C9" s="61" t="n">
        <v>4</v>
      </c>
      <c r="D9" s="78" t="inlineStr">
        <is>
          <t>C5 Blok 0.20 kotunda bulunan gazbeton duvar imalatı,kaba inşaat çalışmaları sırasında yıkılmıştır.
Durum fotoğraf ile kayıt altına alınmış olup, yıkılan duvar proje doğrultusunda yeniden yapılmıştır.</t>
        </is>
      </c>
      <c r="E9" s="63" t="inlineStr">
        <is>
          <t>1 Usta
1 Usta Yard.</t>
        </is>
      </c>
      <c r="F9" s="61" t="inlineStr">
        <is>
          <t>yevmiye</t>
        </is>
      </c>
      <c r="G9" s="61" t="n">
        <v>1</v>
      </c>
      <c r="H9" s="183" t="n"/>
      <c r="I9" s="183">
        <f>+G9*H9</f>
        <v/>
      </c>
      <c r="J9" s="61" t="inlineStr">
        <is>
          <t>20 cm gazbeton</t>
        </is>
      </c>
      <c r="K9" s="61" t="inlineStr">
        <is>
          <t>m²</t>
        </is>
      </c>
      <c r="L9" s="61" t="n">
        <v>9.199999999999999</v>
      </c>
      <c r="M9" s="61" t="n"/>
      <c r="N9" s="61" t="n"/>
      <c r="O9" s="61" t="n"/>
      <c r="P9" s="61" t="n"/>
    </row>
    <row r="10" ht="28.8" customFormat="1" customHeight="1" s="59">
      <c r="B10" s="185" t="n"/>
      <c r="C10" s="185" t="n"/>
      <c r="D10" s="185" t="n"/>
      <c r="E10" s="185" t="n"/>
      <c r="F10" s="185" t="n"/>
      <c r="G10" s="61" t="n">
        <v>1</v>
      </c>
      <c r="H10" s="183" t="n"/>
      <c r="I10" s="183">
        <f>+G10*H10</f>
        <v/>
      </c>
      <c r="J10" s="185" t="n"/>
      <c r="K10" s="185" t="n"/>
      <c r="L10" s="185" t="n"/>
      <c r="M10" s="61" t="n"/>
      <c r="N10" s="61" t="n"/>
      <c r="O10" s="61" t="n"/>
      <c r="P10" s="61" t="n"/>
    </row>
    <row r="11" ht="28.8" customFormat="1" customHeight="1" s="59">
      <c r="B11" s="62" t="n">
        <v>45970</v>
      </c>
      <c r="C11" s="61" t="n">
        <v>5</v>
      </c>
      <c r="D11" s="78" t="inlineStr">
        <is>
          <t>C7 Blok -4.80 kotunda bulunan gazbeton duvar taksimatları, elektrik ve mekanik çalışmaları sırasında sökülmüştür.
Sökülen alanlar tespit edilip tamiratı yapılmıştır.</t>
        </is>
      </c>
      <c r="E11" s="63" t="inlineStr">
        <is>
          <t>1 Usta
1 Usta Yard.</t>
        </is>
      </c>
      <c r="F11" s="61" t="inlineStr">
        <is>
          <t>yevmiye</t>
        </is>
      </c>
      <c r="G11" s="61" t="n">
        <v>1</v>
      </c>
      <c r="H11" s="183" t="n"/>
      <c r="I11" s="183">
        <f>+G11*H11</f>
        <v/>
      </c>
      <c r="J11" s="61" t="n"/>
      <c r="K11" s="61" t="n"/>
      <c r="L11" s="61" t="n"/>
      <c r="M11" s="61" t="n"/>
      <c r="N11" s="61" t="n"/>
      <c r="O11" s="61" t="n"/>
      <c r="P11" s="61" t="n"/>
    </row>
    <row r="12" ht="28.8" customFormat="1" customHeight="1" s="59">
      <c r="B12" s="185" t="n"/>
      <c r="C12" s="185" t="n"/>
      <c r="D12" s="185" t="n"/>
      <c r="E12" s="185" t="n"/>
      <c r="F12" s="185" t="n"/>
      <c r="G12" s="61" t="n">
        <v>1</v>
      </c>
      <c r="H12" s="183" t="n"/>
      <c r="I12" s="183">
        <f>+G12*H12</f>
        <v/>
      </c>
      <c r="J12" s="185" t="n"/>
      <c r="K12" s="185" t="n"/>
      <c r="L12" s="185" t="n"/>
      <c r="M12" s="61" t="n"/>
      <c r="N12" s="61" t="n"/>
      <c r="O12" s="61" t="n"/>
      <c r="P12" s="61" t="n"/>
    </row>
    <row r="13" ht="28.8" customFormat="1" customHeight="1" s="59">
      <c r="B13" s="62" t="n">
        <v>45970</v>
      </c>
      <c r="C13" s="61" t="n">
        <v>6</v>
      </c>
      <c r="D13" s="78" t="inlineStr">
        <is>
          <t>C7 Blok -4.80 kotu C-AZ-257 mahalinde bulunan gazbeton duvar imalatı, elektrik ve mekanik çalışmaları sırasında yıkılmıştır.
yıkılan duvar proje doğrultusunda tekrar yapılmıştır.</t>
        </is>
      </c>
      <c r="E13" s="63" t="inlineStr">
        <is>
          <t>1 Usta
1 Usta Yard.</t>
        </is>
      </c>
      <c r="F13" s="61" t="inlineStr">
        <is>
          <t>yevmiye</t>
        </is>
      </c>
      <c r="G13" s="61" t="n">
        <v>1</v>
      </c>
      <c r="H13" s="183" t="n"/>
      <c r="I13" s="183">
        <f>+G13*H13</f>
        <v/>
      </c>
      <c r="J13" s="61" t="inlineStr">
        <is>
          <t>15 cm Gazbeton</t>
        </is>
      </c>
      <c r="K13" s="61" t="inlineStr">
        <is>
          <t>m²</t>
        </is>
      </c>
      <c r="L13" s="61" t="n">
        <v>4.5</v>
      </c>
      <c r="M13" s="61" t="n"/>
      <c r="N13" s="61" t="n"/>
      <c r="O13" s="61" t="n"/>
      <c r="P13" s="61" t="n"/>
    </row>
    <row r="14" ht="28.8" customFormat="1" customHeight="1" s="59">
      <c r="B14" s="185" t="n"/>
      <c r="C14" s="185" t="n"/>
      <c r="D14" s="185" t="n"/>
      <c r="E14" s="185" t="n"/>
      <c r="F14" s="185" t="n"/>
      <c r="G14" s="61" t="n">
        <v>1</v>
      </c>
      <c r="H14" s="183" t="n"/>
      <c r="I14" s="183">
        <f>+G14*H14</f>
        <v/>
      </c>
      <c r="J14" s="185" t="n"/>
      <c r="K14" s="185" t="n"/>
      <c r="L14" s="185" t="n"/>
      <c r="M14" s="61" t="n"/>
      <c r="N14" s="61" t="n"/>
      <c r="O14" s="61" t="n"/>
      <c r="P14" s="61" t="n"/>
    </row>
    <row r="15" ht="28.8" customFormat="1" customHeight="1" s="59">
      <c r="B15" s="62" t="n">
        <v>45986</v>
      </c>
      <c r="C15" s="61" t="n">
        <v>7</v>
      </c>
      <c r="D15" s="78" t="inlineStr">
        <is>
          <t xml:space="preserve">C3 Blok 0.20 kotu C-Z-083 mahalinde bulunan alçıpan duvar karkas imalatı, elektrik ve mekanik çalışmaları sırasında zarar görmüştür.
</t>
        </is>
      </c>
      <c r="E15" s="63" t="inlineStr">
        <is>
          <t>1 Usta
1 Usta Yard.</t>
        </is>
      </c>
      <c r="F15" s="61" t="inlineStr">
        <is>
          <t>yevmiye</t>
        </is>
      </c>
      <c r="G15" s="61" t="n">
        <v>1</v>
      </c>
      <c r="H15" s="183" t="n"/>
      <c r="I15" s="183">
        <f>+G15*H15</f>
        <v/>
      </c>
      <c r="J15" s="61" t="inlineStr">
        <is>
          <t>DU50</t>
        </is>
      </c>
      <c r="K15" s="61" t="inlineStr">
        <is>
          <t>m</t>
        </is>
      </c>
      <c r="L15" s="61" t="n">
        <v>19.2</v>
      </c>
      <c r="M15" s="61" t="n"/>
      <c r="N15" s="61" t="n"/>
      <c r="O15" s="61" t="n"/>
      <c r="P15" s="61" t="n"/>
    </row>
    <row r="16" ht="28.8" customFormat="1" customHeight="1" s="59">
      <c r="B16" s="185" t="n"/>
      <c r="C16" s="185" t="n"/>
      <c r="D16" s="185" t="n"/>
      <c r="E16" s="185" t="n"/>
      <c r="F16" s="185" t="n"/>
      <c r="G16" s="61" t="n">
        <v>1</v>
      </c>
      <c r="H16" s="183" t="n"/>
      <c r="I16" s="183">
        <f>+G16*H16</f>
        <v/>
      </c>
      <c r="J16" s="185" t="n"/>
      <c r="K16" s="185" t="n"/>
      <c r="L16" s="185" t="n"/>
      <c r="M16" s="61" t="n"/>
      <c r="N16" s="61" t="n"/>
      <c r="O16" s="61" t="n"/>
      <c r="P16" s="61" t="n"/>
    </row>
    <row r="17" ht="28.8" customFormat="1" customHeight="1" s="59">
      <c r="B17" s="62" t="n">
        <v>45986</v>
      </c>
      <c r="C17" s="61" t="n">
        <v>8</v>
      </c>
      <c r="D17" s="78" t="inlineStr">
        <is>
          <t xml:space="preserve">C6 Blok -4.80 kotu C-AZ-401 mahalinde bulunan alçıpan duvar karkas imalatı, elektrik ve mekanik çalışmaları sırasında zarar görmüştür.
</t>
        </is>
      </c>
      <c r="E17" s="63" t="inlineStr">
        <is>
          <t>1 Usta
1 Usta Yard.</t>
        </is>
      </c>
      <c r="F17" s="61" t="inlineStr">
        <is>
          <t>yevmiye</t>
        </is>
      </c>
      <c r="G17" s="61" t="n">
        <v>1</v>
      </c>
      <c r="H17" s="183" t="n"/>
      <c r="I17" s="183">
        <f>+G17*H17</f>
        <v/>
      </c>
      <c r="J17" s="61" t="inlineStr">
        <is>
          <t>DU50</t>
        </is>
      </c>
      <c r="K17" s="61" t="inlineStr">
        <is>
          <t>m</t>
        </is>
      </c>
      <c r="L17" s="61" t="n">
        <v>14.4</v>
      </c>
      <c r="M17" s="61" t="n"/>
      <c r="N17" s="61" t="n"/>
      <c r="O17" s="61" t="n"/>
      <c r="P17" s="61" t="n"/>
    </row>
    <row r="18" ht="28.8" customFormat="1" customHeight="1" s="59">
      <c r="B18" s="185" t="n"/>
      <c r="C18" s="185" t="n"/>
      <c r="D18" s="185" t="n"/>
      <c r="E18" s="185" t="n"/>
      <c r="F18" s="185" t="n"/>
      <c r="G18" s="61" t="n">
        <v>1</v>
      </c>
      <c r="H18" s="183" t="n"/>
      <c r="I18" s="183">
        <f>+G18*H18</f>
        <v/>
      </c>
      <c r="J18" s="185" t="n"/>
      <c r="K18" s="185" t="n"/>
      <c r="L18" s="185" t="n"/>
      <c r="M18" s="61" t="n"/>
      <c r="N18" s="61" t="n"/>
      <c r="O18" s="61" t="n"/>
      <c r="P18" s="61" t="n"/>
    </row>
    <row r="19" ht="28.8" customFormat="1" customHeight="1" s="59">
      <c r="B19" s="62" t="n">
        <v>45988</v>
      </c>
      <c r="C19" s="61" t="n">
        <v>9</v>
      </c>
      <c r="D19" s="78" t="inlineStr">
        <is>
          <t xml:space="preserve">C6 Blok -10.20 kotu C-B1-159A mahalinde bulunan gazbeton duvar imalatı, mekanik çalışmaları sırasında yıkılmıştır.Yıkılan duvarlar proje doğrultusunda tekrar yapılmıştır.
</t>
        </is>
      </c>
      <c r="E19" s="63" t="inlineStr">
        <is>
          <t>1 Usta
1 Usta Yard.</t>
        </is>
      </c>
      <c r="F19" s="61" t="inlineStr">
        <is>
          <t>yevmiye</t>
        </is>
      </c>
      <c r="G19" s="61" t="n">
        <v>1</v>
      </c>
      <c r="H19" s="183" t="n"/>
      <c r="I19" s="183">
        <f>+G19*H19</f>
        <v/>
      </c>
      <c r="J19" s="61" t="inlineStr">
        <is>
          <t>15 cm Gazbeton</t>
        </is>
      </c>
      <c r="K19" s="61" t="inlineStr">
        <is>
          <t>m²</t>
        </is>
      </c>
      <c r="L19" s="61" t="n">
        <v>4.68</v>
      </c>
      <c r="M19" s="61" t="n"/>
      <c r="N19" s="61" t="n"/>
      <c r="O19" s="61" t="n"/>
      <c r="P19" s="61" t="n"/>
    </row>
    <row r="20" ht="28.8" customFormat="1" customHeight="1" s="59">
      <c r="B20" s="185" t="n"/>
      <c r="C20" s="185" t="n"/>
      <c r="D20" s="185" t="n"/>
      <c r="E20" s="185" t="n"/>
      <c r="F20" s="185" t="n"/>
      <c r="G20" s="61" t="n">
        <v>1</v>
      </c>
      <c r="H20" s="183" t="n"/>
      <c r="I20" s="183">
        <f>+G20*H20</f>
        <v/>
      </c>
      <c r="J20" s="185" t="n"/>
      <c r="K20" s="185" t="n"/>
      <c r="L20" s="185" t="n"/>
      <c r="M20" s="61" t="n"/>
      <c r="N20" s="61" t="n"/>
      <c r="O20" s="61" t="n"/>
      <c r="P20" s="61" t="n"/>
    </row>
    <row r="21" ht="30" customFormat="1" customHeight="1" s="59">
      <c r="B21" s="62" t="n">
        <v>45989</v>
      </c>
      <c r="C21" s="61" t="n">
        <v>10</v>
      </c>
      <c r="D21" s="78" t="inlineStr">
        <is>
          <t xml:space="preserve">C5 Blok 0.20 kotu C-Z-115 mahalinde bulunan alçıpan duvar imalatı, mekanik ve elektrik çalışmaları sırasında zarar görmüştür.zarar gören alanlar tespit edilip tekrar yapılmıştır.
</t>
        </is>
      </c>
      <c r="E21" s="63" t="inlineStr">
        <is>
          <t>2 Usta
2 Usta Yard.</t>
        </is>
      </c>
      <c r="F21" s="61" t="inlineStr">
        <is>
          <t>yevmiye</t>
        </is>
      </c>
      <c r="G21" s="61" t="n">
        <v>2</v>
      </c>
      <c r="H21" s="183" t="n"/>
      <c r="I21" s="183">
        <f>+G21*H21</f>
        <v/>
      </c>
      <c r="J21" s="61" t="inlineStr">
        <is>
          <t>FX Ultra Alçıpan</t>
        </is>
      </c>
      <c r="K21" s="61" t="inlineStr">
        <is>
          <t>m²</t>
        </is>
      </c>
      <c r="L21" s="61" t="n">
        <v>35.82</v>
      </c>
      <c r="M21" s="61" t="n"/>
      <c r="N21" s="61" t="n"/>
      <c r="O21" s="61" t="n"/>
      <c r="P21" s="61" t="n"/>
    </row>
    <row r="22" ht="19.95" customFormat="1" customHeight="1" s="59">
      <c r="B22" s="185" t="n"/>
      <c r="C22" s="185" t="n"/>
      <c r="D22" s="185" t="n"/>
      <c r="E22" s="185" t="n"/>
      <c r="F22" s="185" t="n"/>
      <c r="G22" s="94" t="n">
        <v>2</v>
      </c>
      <c r="H22" s="183" t="n"/>
      <c r="I22" s="183">
        <f>+G22*H22</f>
        <v/>
      </c>
      <c r="J22" s="61" t="inlineStr">
        <is>
          <t>DC100</t>
        </is>
      </c>
      <c r="K22" s="61" t="inlineStr">
        <is>
          <t>m</t>
        </is>
      </c>
      <c r="L22" s="61" t="n">
        <v>43.2</v>
      </c>
      <c r="M22" s="61" t="n"/>
      <c r="N22" s="61" t="n"/>
      <c r="O22" s="61" t="n"/>
      <c r="P22" s="61" t="n"/>
    </row>
    <row r="23" ht="30" customFormat="1" customHeight="1" s="59">
      <c r="B23" s="62" t="n">
        <v>46355</v>
      </c>
      <c r="C23" s="61">
        <f>+C21+1</f>
        <v/>
      </c>
      <c r="D23" s="187" t="inlineStr">
        <is>
          <t xml:space="preserve">C6 Blok -4.80 kotu C-AZ-401 mahalinde bulunan alçıpan duvar imalatı,elektrik çalışmaları sırasında karkas yamulmuş, yalıtım plakaları sökülmüş ve zarar görmüştür.zarar gören alanlar tespit edilip tekrar yapılmıştır.
</t>
        </is>
      </c>
      <c r="E23" s="63" t="inlineStr">
        <is>
          <t>1 Usta
1 Usta Yard.</t>
        </is>
      </c>
      <c r="F23" s="61" t="inlineStr">
        <is>
          <t>yevmiye</t>
        </is>
      </c>
      <c r="G23" s="61" t="n">
        <v>1</v>
      </c>
      <c r="H23" s="183" t="n"/>
      <c r="I23" s="183">
        <f>+G23*H23</f>
        <v/>
      </c>
      <c r="J23" s="61" t="inlineStr">
        <is>
          <t>DC50</t>
        </is>
      </c>
      <c r="K23" s="61" t="inlineStr">
        <is>
          <t>m²</t>
        </is>
      </c>
      <c r="L23" s="61" t="n">
        <v>19.2</v>
      </c>
      <c r="M23" s="61" t="n"/>
      <c r="N23" s="61" t="n"/>
      <c r="O23" s="61" t="n"/>
      <c r="P23" s="61" t="n"/>
    </row>
    <row r="24" ht="27.6" customFormat="1" customHeight="1" s="59">
      <c r="B24" s="185" t="n"/>
      <c r="C24" s="185" t="n"/>
      <c r="D24" s="185" t="n"/>
      <c r="E24" s="185" t="n"/>
      <c r="F24" s="185" t="n"/>
      <c r="G24" s="61" t="n">
        <v>1</v>
      </c>
      <c r="H24" s="183" t="n"/>
      <c r="I24" s="183">
        <f>+G24*H24</f>
        <v/>
      </c>
      <c r="J24" s="185" t="n"/>
      <c r="K24" s="185" t="n"/>
      <c r="L24" s="185" t="n"/>
      <c r="M24" s="61" t="n"/>
      <c r="N24" s="61" t="n"/>
      <c r="O24" s="61" t="n"/>
      <c r="P24" s="61" t="n"/>
    </row>
    <row r="25" ht="30" customFormat="1" customHeight="1" s="59">
      <c r="B25" s="62" t="n">
        <v>45992</v>
      </c>
      <c r="C25" s="61" t="n">
        <v>12</v>
      </c>
      <c r="D25" s="78" t="inlineStr">
        <is>
          <t>C3 Blok 5.20 kotu C-1-067 mahalinde bulunan alçıpan duvar imalatı, iskele taşıma sırasında karkasın yamulması sonucu zarar görmüş olup, hasarlı bölgeler tespit edilerek yeniden yapılmıştır.</t>
        </is>
      </c>
      <c r="E25" s="63" t="inlineStr">
        <is>
          <t>1 Usta
1 Usta Yard.</t>
        </is>
      </c>
      <c r="F25" s="61" t="inlineStr">
        <is>
          <t>yevmiye</t>
        </is>
      </c>
      <c r="G25" s="61" t="n">
        <v>1</v>
      </c>
      <c r="H25" s="183" t="n"/>
      <c r="I25" s="183">
        <f>+G25*H25</f>
        <v/>
      </c>
      <c r="J25" s="61" t="inlineStr">
        <is>
          <t>DC100</t>
        </is>
      </c>
      <c r="K25" s="61" t="inlineStr">
        <is>
          <t>m</t>
        </is>
      </c>
      <c r="L25" s="61" t="n">
        <v>2.6</v>
      </c>
      <c r="M25" s="61" t="n"/>
      <c r="N25" s="61" t="n"/>
      <c r="O25" s="61" t="n"/>
      <c r="P25" s="61" t="n"/>
    </row>
    <row r="26" ht="19.95" customFormat="1" customHeight="1" s="59">
      <c r="B26" s="185" t="n"/>
      <c r="C26" s="185" t="n"/>
      <c r="D26" s="185" t="n"/>
      <c r="E26" s="185" t="n"/>
      <c r="F26" s="185" t="n"/>
      <c r="G26" s="61" t="n">
        <v>1</v>
      </c>
      <c r="H26" s="183" t="n"/>
      <c r="I26" s="183">
        <f>+G26*H26</f>
        <v/>
      </c>
      <c r="J26" s="61" t="inlineStr">
        <is>
          <t>DU100</t>
        </is>
      </c>
      <c r="K26" s="61" t="inlineStr">
        <is>
          <t>m</t>
        </is>
      </c>
      <c r="L26" s="61" t="n">
        <v>9.6</v>
      </c>
      <c r="M26" s="61" t="n"/>
      <c r="N26" s="61" t="n"/>
      <c r="O26" s="61" t="n"/>
      <c r="P26" s="61" t="n"/>
    </row>
    <row r="27" ht="30" customFormat="1" customHeight="1" s="59">
      <c r="B27" s="89" t="n">
        <v>45993</v>
      </c>
      <c r="C27" s="92" t="n">
        <v>13</v>
      </c>
      <c r="D27" s="95" t="inlineStr">
        <is>
          <t>C6 Blok -10.20 kotu C-B1-459 mahalinde bulunan gazbeton duvar imalatı, dış cepheden gelen darbe etkisi nedeniyle yıkılmıştır.</t>
        </is>
      </c>
      <c r="E27" s="92" t="inlineStr">
        <is>
          <t>3 Usta</t>
        </is>
      </c>
      <c r="F27" s="92" t="inlineStr">
        <is>
          <t>yevmiye</t>
        </is>
      </c>
      <c r="G27" s="61" t="n">
        <v>3</v>
      </c>
      <c r="H27" s="183" t="n"/>
      <c r="I27" s="183">
        <f>+G27*H27</f>
        <v/>
      </c>
      <c r="J27" s="61" t="inlineStr">
        <is>
          <t>15 cm Gazbeton</t>
        </is>
      </c>
      <c r="K27" s="61" t="inlineStr">
        <is>
          <t>m²</t>
        </is>
      </c>
      <c r="L27" s="61" t="n">
        <v>31.45</v>
      </c>
      <c r="M27" s="61" t="n"/>
      <c r="N27" s="61" t="n"/>
      <c r="O27" s="61" t="n"/>
      <c r="P27" s="61" t="n"/>
    </row>
    <row r="28" ht="19.95" customFormat="1" customHeight="1" s="59">
      <c r="B28" s="62" t="n">
        <v>45996</v>
      </c>
      <c r="C28" s="61" t="n">
        <v>14</v>
      </c>
      <c r="D28" s="78" t="inlineStr">
        <is>
          <t>Sözleşme gereği işveren tarafından talep edilen isg uzmanı bedeli.-KASIM</t>
        </is>
      </c>
      <c r="E28" s="61" t="inlineStr">
        <is>
          <t>2 İSG Personeli</t>
        </is>
      </c>
      <c r="F28" s="61" t="inlineStr">
        <is>
          <t>ücret</t>
        </is>
      </c>
      <c r="G28" s="61" t="n">
        <v>2</v>
      </c>
      <c r="H28" s="183" t="n">
        <v>62500</v>
      </c>
      <c r="I28" s="183">
        <f>+H28*G28</f>
        <v/>
      </c>
      <c r="J28" s="61" t="n"/>
      <c r="K28" s="61" t="n"/>
      <c r="L28" s="61" t="n"/>
      <c r="M28" s="61" t="n"/>
      <c r="N28" s="61" t="n"/>
      <c r="O28" s="61" t="n"/>
      <c r="P28" s="61" t="n"/>
    </row>
    <row r="29" ht="19.95" customFormat="1" customHeight="1" s="59">
      <c r="B29" s="62" t="n">
        <v>45996</v>
      </c>
      <c r="C29" s="61" t="n">
        <v>15</v>
      </c>
      <c r="D29" s="78" t="inlineStr">
        <is>
          <t>Sözleşme gereği işveren tarafından talep edilen isg uzmanı bedeli.-EKİM</t>
        </is>
      </c>
      <c r="E29" s="61" t="inlineStr">
        <is>
          <t>2 İSG Personeli</t>
        </is>
      </c>
      <c r="F29" s="61" t="inlineStr">
        <is>
          <t>ücret</t>
        </is>
      </c>
      <c r="G29" s="61" t="n">
        <v>1.26</v>
      </c>
      <c r="H29" s="183" t="n">
        <v>62500</v>
      </c>
      <c r="I29" s="183">
        <f>+H29*G29</f>
        <v/>
      </c>
      <c r="J29" s="61" t="n"/>
      <c r="K29" s="61" t="n"/>
      <c r="L29" s="61" t="n"/>
      <c r="M29" s="61" t="n"/>
      <c r="N29" s="61" t="n"/>
      <c r="O29" s="61" t="n"/>
      <c r="P29" s="61" t="n"/>
    </row>
    <row r="30" ht="20.4" customFormat="1" customHeight="1" s="59">
      <c r="B30" s="62" t="n">
        <v>45996</v>
      </c>
      <c r="C30" s="61" t="n">
        <v>16</v>
      </c>
      <c r="D30" s="78" t="inlineStr">
        <is>
          <t>Sözleşme gereği işveren tarafından talep edilen isg uzmanı bedeli.-EYLÜL</t>
        </is>
      </c>
      <c r="E30" s="61" t="inlineStr">
        <is>
          <t>1 İSG Personeli</t>
        </is>
      </c>
      <c r="F30" s="61" t="inlineStr">
        <is>
          <t>ücret</t>
        </is>
      </c>
      <c r="G30" s="61" t="n">
        <v>0.8666</v>
      </c>
      <c r="H30" s="183" t="n">
        <v>62500</v>
      </c>
      <c r="I30" s="183">
        <f>+H30*G30</f>
        <v/>
      </c>
      <c r="J30" s="61" t="n"/>
      <c r="K30" s="61" t="n"/>
      <c r="L30" s="61" t="n"/>
      <c r="M30" s="61" t="n"/>
      <c r="N30" s="61" t="n"/>
      <c r="O30" s="61" t="n"/>
      <c r="P30" s="61" t="n"/>
    </row>
    <row r="31" ht="15" customFormat="1" customHeight="1" s="59">
      <c r="B31" s="62" t="n">
        <v>46007</v>
      </c>
      <c r="C31" s="61" t="n">
        <v>17</v>
      </c>
      <c r="D31" s="78" t="inlineStr">
        <is>
          <t>C7 Blok -4.80 kotu C-AZ-189/193/198 mahallerinde bulunan alçıpan duvar imalatı, mekanik ve elektrik çalışmaları sırasında zarar görmüştür.</t>
        </is>
      </c>
      <c r="E31" s="63" t="inlineStr">
        <is>
          <t>2 Usta
1 Usta Yard.</t>
        </is>
      </c>
      <c r="F31" s="61" t="inlineStr">
        <is>
          <t>yevmiye</t>
        </is>
      </c>
      <c r="G31" s="61" t="n">
        <v>2</v>
      </c>
      <c r="H31" s="183" t="n"/>
      <c r="I31" s="183">
        <f>+G31*H31</f>
        <v/>
      </c>
      <c r="J31" s="61" t="inlineStr">
        <is>
          <t>DU100</t>
        </is>
      </c>
      <c r="K31" s="61" t="inlineStr">
        <is>
          <t>m</t>
        </is>
      </c>
      <c r="L31" s="61" t="n">
        <v>2</v>
      </c>
      <c r="M31" s="61" t="n"/>
      <c r="N31" s="61" t="n"/>
      <c r="O31" s="61" t="n"/>
      <c r="P31" s="61" t="n"/>
    </row>
    <row r="32" ht="13.8" customFormat="1" customHeight="1" s="59">
      <c r="B32" s="188" t="n"/>
      <c r="C32" s="188" t="n"/>
      <c r="D32" s="188" t="n"/>
      <c r="E32" s="188" t="n"/>
      <c r="F32" s="188" t="n"/>
      <c r="G32" s="185" t="n"/>
      <c r="H32" s="185" t="n"/>
      <c r="I32" s="185" t="n"/>
      <c r="J32" s="61" t="inlineStr">
        <is>
          <t>DC100</t>
        </is>
      </c>
      <c r="K32" s="61" t="inlineStr">
        <is>
          <t>m</t>
        </is>
      </c>
      <c r="L32" s="61" t="n">
        <v>9.699999999999999</v>
      </c>
      <c r="M32" s="61" t="n"/>
      <c r="N32" s="61" t="n"/>
      <c r="O32" s="61" t="n"/>
      <c r="P32" s="61" t="n"/>
    </row>
    <row r="33" ht="13.8" customFormat="1" customHeight="1" s="59">
      <c r="B33" s="188" t="n"/>
      <c r="C33" s="188" t="n"/>
      <c r="D33" s="188" t="n"/>
      <c r="E33" s="188" t="n"/>
      <c r="F33" s="188" t="n"/>
      <c r="G33" s="61" t="n">
        <v>1</v>
      </c>
      <c r="H33" s="183" t="n"/>
      <c r="I33" s="183">
        <f>+G33*H33</f>
        <v/>
      </c>
      <c r="J33" s="61" t="inlineStr">
        <is>
          <t>DU50</t>
        </is>
      </c>
      <c r="K33" s="61" t="inlineStr">
        <is>
          <t>m</t>
        </is>
      </c>
      <c r="L33" s="61" t="n">
        <v>4.85</v>
      </c>
      <c r="M33" s="61" t="n"/>
      <c r="N33" s="61" t="n"/>
      <c r="O33" s="61" t="n"/>
      <c r="P33" s="61" t="n"/>
    </row>
    <row r="34" ht="12.6" customFormat="1" customHeight="1" s="59">
      <c r="B34" s="185" t="n"/>
      <c r="C34" s="185" t="n"/>
      <c r="D34" s="185" t="n"/>
      <c r="E34" s="185" t="n"/>
      <c r="F34" s="185" t="n"/>
      <c r="G34" s="185" t="n"/>
      <c r="H34" s="185" t="n"/>
      <c r="I34" s="185" t="n"/>
      <c r="J34" s="61" t="inlineStr">
        <is>
          <t>FX Ultra Alçıpan</t>
        </is>
      </c>
      <c r="K34" s="61" t="inlineStr">
        <is>
          <t>m²</t>
        </is>
      </c>
      <c r="L34" s="61" t="n">
        <v>6.5</v>
      </c>
      <c r="M34" s="61" t="n"/>
      <c r="N34" s="61" t="n"/>
      <c r="O34" s="61" t="n"/>
      <c r="P34" s="61" t="n"/>
    </row>
    <row r="35" ht="19.95" customFormat="1" customHeight="1" s="59">
      <c r="A35" s="59" t="inlineStr">
        <is>
          <t>İPTAL</t>
        </is>
      </c>
      <c r="B35" s="83" t="n">
        <v>46007</v>
      </c>
      <c r="C35" s="82" t="n">
        <v>18</v>
      </c>
      <c r="D35" s="84" t="inlineStr">
        <is>
          <t>C6 Blok -10.20 kotu C-B1-174/175/176 mahallerinde yapılan ano çıtaları, mekanik çalışmaları sırasında sökülmüş, zarar görmüştür.</t>
        </is>
      </c>
      <c r="E35" s="82" t="inlineStr">
        <is>
          <t>2 Usta</t>
        </is>
      </c>
      <c r="F35" s="82" t="inlineStr">
        <is>
          <t>yevmiye</t>
        </is>
      </c>
      <c r="G35" s="82" t="n">
        <v>2</v>
      </c>
      <c r="H35" s="189" t="n"/>
      <c r="I35" s="189" t="n"/>
      <c r="J35" s="82" t="n"/>
      <c r="K35" s="82" t="n"/>
      <c r="L35" s="82" t="n"/>
      <c r="M35" s="82" t="n"/>
      <c r="N35" s="82" t="n"/>
      <c r="O35" s="82" t="n"/>
      <c r="P35" s="82" t="n"/>
    </row>
    <row r="36" ht="22.2" customFormat="1" customHeight="1" s="59">
      <c r="B36" s="62" t="n">
        <v>46007</v>
      </c>
      <c r="C36" s="61" t="n">
        <v>19</v>
      </c>
      <c r="D36" s="78" t="inlineStr">
        <is>
          <t>C5 Blok 0.20 kotu C-Z-105/106/107/108 mahallerinde yapılan alçıpan duvar imalatı, elektrik ve mekanik imalatlar sırasında zarar görmüş olup duvarlar mastarından çıkmıştır. Zarar gören duvarların gerekli düzeltme ve yeniden imalatları tarafımızca yapılmıştır.</t>
        </is>
      </c>
      <c r="E36" s="63" t="inlineStr">
        <is>
          <t>3 Usta
2 Usta Yardımcısı</t>
        </is>
      </c>
      <c r="F36" s="61" t="inlineStr">
        <is>
          <t>yevmiye</t>
        </is>
      </c>
      <c r="G36" s="61" t="n">
        <v>3</v>
      </c>
      <c r="H36" s="183" t="n"/>
      <c r="I36" s="183">
        <f>+G36*H36</f>
        <v/>
      </c>
      <c r="J36" s="61" t="inlineStr">
        <is>
          <t>DU100</t>
        </is>
      </c>
      <c r="K36" s="61" t="inlineStr">
        <is>
          <t>m</t>
        </is>
      </c>
      <c r="L36" s="61" t="n">
        <v>121.5</v>
      </c>
      <c r="M36" s="61" t="n"/>
      <c r="N36" s="61" t="n"/>
      <c r="O36" s="61" t="n"/>
      <c r="P36" s="61" t="n"/>
    </row>
    <row r="37" ht="19.95" customFormat="1" customHeight="1" s="59">
      <c r="B37" s="185" t="n"/>
      <c r="C37" s="185" t="n"/>
      <c r="D37" s="185" t="n"/>
      <c r="E37" s="185" t="n"/>
      <c r="F37" s="185" t="n"/>
      <c r="G37" s="61" t="n">
        <v>2</v>
      </c>
      <c r="H37" s="183" t="n"/>
      <c r="I37" s="183">
        <f>+G37*H37</f>
        <v/>
      </c>
      <c r="J37" s="61" t="inlineStr">
        <is>
          <t>FX Ultra Alçıpan</t>
        </is>
      </c>
      <c r="K37" s="61" t="inlineStr">
        <is>
          <t>m²</t>
        </is>
      </c>
      <c r="L37" s="61" t="n">
        <v>200.64</v>
      </c>
      <c r="M37" s="61" t="n"/>
      <c r="N37" s="61" t="n"/>
      <c r="O37" s="61" t="n"/>
      <c r="P37" s="61" t="n"/>
    </row>
    <row r="38" ht="30" customFormat="1" customHeight="1" s="59">
      <c r="B38" s="62" t="n">
        <v>46008</v>
      </c>
      <c r="C38" s="61" t="n">
        <v>20</v>
      </c>
      <c r="D38" s="78" t="inlineStr">
        <is>
          <t>C5 Blok 10.20 kotu C-2-213/214 mahallerinde yapılan alçı sıva imalatı, yağış ile birlikte şafttan gelen su ve kaba imalatları atıkları nedeniyle zarar görmüştür.</t>
        </is>
      </c>
      <c r="E38" s="92" t="inlineStr">
        <is>
          <t>2 Usta</t>
        </is>
      </c>
      <c r="F38" s="61" t="inlineStr">
        <is>
          <t>yevmiye</t>
        </is>
      </c>
      <c r="G38" s="61" t="n">
        <v>2</v>
      </c>
      <c r="H38" s="183" t="n"/>
      <c r="I38" s="183">
        <f>+G38*H38</f>
        <v/>
      </c>
      <c r="J38" s="61" t="n"/>
      <c r="K38" s="61" t="n"/>
      <c r="L38" s="61" t="n"/>
      <c r="M38" s="61" t="n"/>
      <c r="N38" s="61" t="n"/>
      <c r="O38" s="61" t="n"/>
      <c r="P38" s="61" t="n"/>
    </row>
    <row r="39" ht="22.2" customFormat="1" customHeight="1" s="59">
      <c r="B39" s="62" t="n">
        <v>46008</v>
      </c>
      <c r="C39" s="61" t="n">
        <v>21</v>
      </c>
      <c r="D39" s="78" t="inlineStr">
        <is>
          <t>C7 Blok -4.80 kotu C-AZ-442 mahalinde yapılan alçıpan duvar imalatı, mekanik ve elektrik çalışmaları sırasında zarar görmüştür.</t>
        </is>
      </c>
      <c r="E39" s="63" t="inlineStr">
        <is>
          <t>1 Usta
1 Usta Yard.</t>
        </is>
      </c>
      <c r="F39" s="61" t="inlineStr">
        <is>
          <t>yevmiye</t>
        </is>
      </c>
      <c r="G39" s="61" t="n">
        <v>1</v>
      </c>
      <c r="H39" s="183" t="n"/>
      <c r="I39" s="183">
        <f>+G39*H39</f>
        <v/>
      </c>
      <c r="J39" s="61" t="n"/>
      <c r="K39" s="61" t="n"/>
      <c r="L39" s="61" t="n"/>
      <c r="M39" s="61" t="n"/>
      <c r="N39" s="61" t="n"/>
      <c r="O39" s="61" t="n"/>
      <c r="P39" s="61" t="n"/>
    </row>
    <row r="40" ht="19.95" customFormat="1" customHeight="1" s="59">
      <c r="B40" s="185" t="n"/>
      <c r="C40" s="185" t="n"/>
      <c r="D40" s="185" t="n"/>
      <c r="E40" s="185" t="n"/>
      <c r="F40" s="185" t="n"/>
      <c r="G40" s="61" t="n">
        <v>1</v>
      </c>
      <c r="H40" s="183" t="n"/>
      <c r="I40" s="183">
        <f>+G40*H40</f>
        <v/>
      </c>
      <c r="J40" s="61" t="n"/>
      <c r="K40" s="61" t="n"/>
      <c r="L40" s="61" t="n"/>
      <c r="M40" s="61" t="n"/>
      <c r="N40" s="61" t="n"/>
      <c r="O40" s="61" t="n"/>
      <c r="P40" s="61" t="n"/>
    </row>
    <row r="41" ht="22.2" customFormat="1" customHeight="1" s="59">
      <c r="B41" s="62" t="n">
        <v>46008</v>
      </c>
      <c r="C41" s="61" t="n">
        <v>22</v>
      </c>
      <c r="D41" s="78" t="inlineStr">
        <is>
          <t>C6 Blok -4.80 kotu C-AZ-389 mahalinde yapılan alçıpan duvar imalatı, elekrik proje revizyonu ile gelen kartlı geçiş imalatı sebebiyle tekrar açılmıştır.</t>
        </is>
      </c>
      <c r="E41" s="63" t="inlineStr">
        <is>
          <t>1 Usta
1 Usta Yard.</t>
        </is>
      </c>
      <c r="F41" s="61" t="inlineStr">
        <is>
          <t>yevmiye</t>
        </is>
      </c>
      <c r="G41" s="61" t="n">
        <v>1</v>
      </c>
      <c r="H41" s="183" t="n"/>
      <c r="I41" s="183">
        <f>+G41*H41</f>
        <v/>
      </c>
      <c r="J41" s="61" t="n"/>
      <c r="K41" s="61" t="n"/>
      <c r="L41" s="61" t="n"/>
      <c r="M41" s="61" t="n"/>
      <c r="N41" s="61" t="n"/>
      <c r="O41" s="61" t="n"/>
      <c r="P41" s="61" t="n"/>
    </row>
    <row r="42" ht="19.95" customFormat="1" customHeight="1" s="59">
      <c r="B42" s="185" t="n"/>
      <c r="C42" s="185" t="n"/>
      <c r="D42" s="185" t="n"/>
      <c r="E42" s="185" t="n"/>
      <c r="F42" s="185" t="n"/>
      <c r="G42" s="61" t="n">
        <v>1</v>
      </c>
      <c r="H42" s="183" t="n"/>
      <c r="I42" s="183">
        <f>+G42*H42</f>
        <v/>
      </c>
      <c r="J42" s="61" t="n"/>
      <c r="K42" s="61" t="n"/>
      <c r="L42" s="61" t="n"/>
      <c r="M42" s="61" t="n"/>
      <c r="N42" s="61" t="n"/>
      <c r="O42" s="61" t="n"/>
      <c r="P42" s="61" t="n"/>
    </row>
    <row r="43" ht="30" customFormat="1" customHeight="1" s="59">
      <c r="B43" s="62" t="n">
        <v>46009</v>
      </c>
      <c r="C43" s="61" t="n">
        <v>23</v>
      </c>
      <c r="D43" s="78" t="inlineStr">
        <is>
          <t>C3 Blok 5.20 kotu C-1-294/296 mahallerinde yapılan alçıpan duvar aplikasyonu, mekanik çalışmaları nedeniyle zarar görmüştür.</t>
        </is>
      </c>
      <c r="E43" s="61" t="inlineStr">
        <is>
          <t>2 Usta</t>
        </is>
      </c>
      <c r="F43" s="61" t="inlineStr">
        <is>
          <t>yevmiye</t>
        </is>
      </c>
      <c r="G43" s="61" t="n">
        <v>2</v>
      </c>
      <c r="H43" s="183" t="n"/>
      <c r="I43" s="183">
        <f>+G43*H43</f>
        <v/>
      </c>
      <c r="J43" s="61" t="n"/>
      <c r="K43" s="61" t="n"/>
      <c r="L43" s="61" t="n"/>
      <c r="M43" s="61" t="n"/>
      <c r="N43" s="61" t="n"/>
      <c r="O43" s="61" t="n"/>
      <c r="P43" s="61" t="n"/>
    </row>
    <row r="44" ht="22.2" customFormat="1" customHeight="1" s="59">
      <c r="B44" s="62" t="n">
        <v>46009</v>
      </c>
      <c r="C44" s="61" t="n">
        <v>24</v>
      </c>
      <c r="D44" s="78" t="inlineStr">
        <is>
          <t xml:space="preserve">C7 Blok -4.80 kotu C-AZ-198 mahalinde yapılan alçıpan duvar karkas imalatı, mekanik ve elektrik çalışmaları nedeniyle sökülmüştür. </t>
        </is>
      </c>
      <c r="E44" s="63" t="inlineStr">
        <is>
          <t>1 Usta
1 Usta Yard.</t>
        </is>
      </c>
      <c r="F44" s="61" t="inlineStr">
        <is>
          <t>yevmiye</t>
        </is>
      </c>
      <c r="G44" s="61" t="n">
        <v>1</v>
      </c>
      <c r="H44" s="183" t="n"/>
      <c r="I44" s="183">
        <f>+G44*H44</f>
        <v/>
      </c>
      <c r="J44" s="61" t="inlineStr">
        <is>
          <t>DU100</t>
        </is>
      </c>
      <c r="K44" s="61" t="inlineStr">
        <is>
          <t>m</t>
        </is>
      </c>
      <c r="L44" s="61" t="n">
        <v>1.5</v>
      </c>
      <c r="M44" s="61" t="n"/>
      <c r="N44" s="61" t="n"/>
      <c r="O44" s="61" t="n"/>
      <c r="P44" s="61" t="n"/>
    </row>
    <row r="45" ht="19.95" customFormat="1" customHeight="1" s="59">
      <c r="B45" s="185" t="n"/>
      <c r="C45" s="185" t="n"/>
      <c r="D45" s="185" t="n"/>
      <c r="E45" s="185" t="n"/>
      <c r="F45" s="185" t="n"/>
      <c r="G45" s="61" t="n">
        <v>1</v>
      </c>
      <c r="H45" s="183" t="n"/>
      <c r="I45" s="183">
        <f>+G45*H45</f>
        <v/>
      </c>
      <c r="J45" s="61" t="inlineStr">
        <is>
          <t>DC100</t>
        </is>
      </c>
      <c r="K45" s="61" t="inlineStr">
        <is>
          <t>m</t>
        </is>
      </c>
      <c r="L45" s="61" t="n">
        <v>18.95</v>
      </c>
      <c r="M45" s="61" t="n"/>
      <c r="N45" s="61" t="n"/>
      <c r="O45" s="61" t="n"/>
      <c r="P45" s="61" t="n"/>
    </row>
    <row r="46" ht="22.2" customFormat="1" customHeight="1" s="59">
      <c r="B46" s="62" t="n">
        <v>46010</v>
      </c>
      <c r="C46" s="61" t="n">
        <v>25</v>
      </c>
      <c r="D46" s="78" t="inlineStr">
        <is>
          <t xml:space="preserve">C3 Blok 5.20 kotu C-1-311 mahalinde yapılan alçıpan duvar  imalatı,  elektrik çalışmaları sırasında zarar görmüş olup duvarlar mastarından çıkmıştır. Zarar gören duvarların gerekli düzeltmelari tarafımızca yapılmıştır. </t>
        </is>
      </c>
      <c r="E46" s="63" t="inlineStr">
        <is>
          <t>1 Usta
1 Usta Yard.</t>
        </is>
      </c>
      <c r="F46" s="61" t="inlineStr">
        <is>
          <t>yevmiye</t>
        </is>
      </c>
      <c r="G46" s="61" t="n">
        <v>1</v>
      </c>
      <c r="H46" s="183" t="n"/>
      <c r="I46" s="183">
        <f>+G46*H46</f>
        <v/>
      </c>
      <c r="J46" s="61" t="inlineStr">
        <is>
          <t>DU100</t>
        </is>
      </c>
      <c r="K46" s="61" t="inlineStr">
        <is>
          <t>m</t>
        </is>
      </c>
      <c r="L46" s="61" t="n">
        <v>0.5</v>
      </c>
      <c r="M46" s="61" t="n"/>
      <c r="N46" s="61" t="n"/>
      <c r="O46" s="61" t="n"/>
      <c r="P46" s="61" t="n"/>
    </row>
    <row r="47" ht="19.95" customFormat="1" customHeight="1" s="59">
      <c r="B47" s="185" t="n"/>
      <c r="C47" s="185" t="n"/>
      <c r="D47" s="185" t="n"/>
      <c r="E47" s="185" t="n"/>
      <c r="F47" s="185" t="n"/>
      <c r="G47" s="61" t="n">
        <v>1</v>
      </c>
      <c r="H47" s="183" t="n"/>
      <c r="I47" s="183">
        <f>+G47*H47</f>
        <v/>
      </c>
      <c r="J47" s="61" t="inlineStr">
        <is>
          <t>DC100</t>
        </is>
      </c>
      <c r="K47" s="61" t="inlineStr">
        <is>
          <t>m</t>
        </is>
      </c>
      <c r="L47" s="61" t="n">
        <v>9.699999999999999</v>
      </c>
      <c r="M47" s="61" t="n"/>
      <c r="N47" s="61" t="n"/>
      <c r="O47" s="61" t="n"/>
      <c r="P47" s="61" t="n"/>
    </row>
    <row r="48" ht="31.2" customFormat="1" customHeight="1" s="59">
      <c r="A48" s="59" t="inlineStr">
        <is>
          <t>İPTAL</t>
        </is>
      </c>
      <c r="B48" s="87" t="n">
        <v>46010</v>
      </c>
      <c r="C48" s="86" t="n">
        <v>26</v>
      </c>
      <c r="D48" s="88" t="inlineStr">
        <is>
          <t xml:space="preserve">C6 Blok -4.80 kotu C-AZ-389 mahalinde yapılan alçı sıva imalatı, elektrik çalışmaları sırasında zarar görmüş olup tamiratları tarafımızca yapılmıştır. </t>
        </is>
      </c>
      <c r="E48" s="82" t="inlineStr">
        <is>
          <t>1 Usta</t>
        </is>
      </c>
      <c r="F48" s="86" t="inlineStr">
        <is>
          <t>yevmiye</t>
        </is>
      </c>
      <c r="G48" s="82" t="n">
        <v>1</v>
      </c>
      <c r="H48" s="189" t="n"/>
      <c r="I48" s="189" t="n"/>
      <c r="J48" s="82" t="n"/>
      <c r="K48" s="82" t="n"/>
      <c r="L48" s="82" t="n"/>
      <c r="M48" s="82" t="n"/>
      <c r="N48" s="82" t="n"/>
      <c r="O48" s="82" t="n"/>
      <c r="P48" s="82" t="n"/>
    </row>
    <row r="49" ht="22.2" customFormat="1" customHeight="1" s="59">
      <c r="B49" s="62" t="n">
        <v>46016</v>
      </c>
      <c r="C49" s="61" t="n">
        <v>27</v>
      </c>
      <c r="D49" s="78" t="inlineStr">
        <is>
          <t>15.20 kotu C3 Blok genelinde, duvar aplikasyonuna engel teşkil eden kaba imalattan kalan demirler kesilerek imalat için uygun hale getirilmiştir.</t>
        </is>
      </c>
      <c r="E49" s="63" t="inlineStr">
        <is>
          <t>1 Usta
1 Usta Yard.</t>
        </is>
      </c>
      <c r="F49" s="61" t="inlineStr">
        <is>
          <t>yevmiye</t>
        </is>
      </c>
      <c r="G49" s="61" t="n">
        <v>1</v>
      </c>
      <c r="H49" s="183" t="n"/>
      <c r="I49" s="183">
        <f>+G49*H49</f>
        <v/>
      </c>
      <c r="J49" s="61" t="n"/>
      <c r="K49" s="61" t="n"/>
      <c r="L49" s="61" t="n"/>
      <c r="M49" s="61" t="n"/>
      <c r="N49" s="61" t="n"/>
      <c r="O49" s="61" t="n"/>
      <c r="P49" s="61" t="n"/>
    </row>
    <row r="50" ht="19.95" customFormat="1" customHeight="1" s="59">
      <c r="B50" s="185" t="n"/>
      <c r="C50" s="185" t="n"/>
      <c r="D50" s="185" t="n"/>
      <c r="E50" s="185" t="n"/>
      <c r="F50" s="185" t="n"/>
      <c r="G50" s="61" t="n">
        <v>1</v>
      </c>
      <c r="H50" s="183" t="n"/>
      <c r="I50" s="183">
        <f>+G50*H50</f>
        <v/>
      </c>
      <c r="J50" s="61" t="n"/>
      <c r="K50" s="61" t="n"/>
      <c r="L50" s="61" t="n"/>
      <c r="M50" s="61" t="n"/>
      <c r="N50" s="61" t="n"/>
      <c r="O50" s="61" t="n"/>
      <c r="P50" s="61" t="n"/>
    </row>
    <row r="51" ht="22.2" customFormat="1" customHeight="1" s="59">
      <c r="B51" s="62" t="n">
        <v>46016</v>
      </c>
      <c r="C51" s="61" t="n">
        <v>28</v>
      </c>
      <c r="D51" s="78" t="inlineStr">
        <is>
          <t>C7 Blok C-AZ-205 mahallinde bulunan gazbeton duvar ve alçıpan duvar imalatlarına zarar verilmiş olup, ilgili imalatlar tarafımızca onarılmıştır.</t>
        </is>
      </c>
      <c r="E51" s="63" t="inlineStr">
        <is>
          <t>2 Usta
1 Usta Yard.</t>
        </is>
      </c>
      <c r="F51" s="61" t="inlineStr">
        <is>
          <t>yevmiye</t>
        </is>
      </c>
      <c r="G51" s="61" t="n">
        <v>2</v>
      </c>
      <c r="H51" s="183" t="n"/>
      <c r="I51" s="183">
        <f>+G51*H51</f>
        <v/>
      </c>
      <c r="J51" s="61" t="inlineStr">
        <is>
          <t>15 cm Gazbeton</t>
        </is>
      </c>
      <c r="K51" s="61" t="inlineStr">
        <is>
          <t>m²</t>
        </is>
      </c>
      <c r="L51" s="61" t="n">
        <v>2</v>
      </c>
      <c r="M51" s="61" t="n"/>
      <c r="N51" s="61" t="n"/>
      <c r="O51" s="61" t="n"/>
      <c r="P51" s="61" t="n"/>
    </row>
    <row r="52" ht="19.95" customFormat="1" customHeight="1" s="59">
      <c r="B52" s="185" t="n"/>
      <c r="C52" s="185" t="n"/>
      <c r="D52" s="185" t="n"/>
      <c r="E52" s="185" t="n"/>
      <c r="F52" s="185" t="n"/>
      <c r="G52" s="61" t="n">
        <v>1</v>
      </c>
      <c r="H52" s="183" t="n"/>
      <c r="I52" s="183">
        <f>+G52*H52</f>
        <v/>
      </c>
      <c r="J52" s="61" t="inlineStr">
        <is>
          <t>FX Ultra Alçıpan</t>
        </is>
      </c>
      <c r="K52" s="61" t="inlineStr">
        <is>
          <t>m²</t>
        </is>
      </c>
      <c r="L52" s="61" t="n">
        <v>14.5</v>
      </c>
      <c r="M52" s="61" t="n"/>
      <c r="N52" s="61" t="n"/>
      <c r="O52" s="61" t="n"/>
      <c r="P52" s="61" t="n"/>
    </row>
    <row r="53" ht="22.2" customFormat="1" customHeight="1" s="59">
      <c r="B53" s="62" t="n">
        <v>46016</v>
      </c>
      <c r="C53" s="61" t="n">
        <v>29</v>
      </c>
      <c r="D53" s="78" t="inlineStr">
        <is>
          <t>Stok alanında bulunan galvaniz profillerin üzerine demir konulması nedeniyle profiller zarar görmüş, yamulan ve kullanılamayacak durumda olanlar tespit edilmiştir.</t>
        </is>
      </c>
      <c r="E53" s="63" t="n"/>
      <c r="F53" s="61" t="n"/>
      <c r="G53" s="61" t="n"/>
      <c r="H53" s="183" t="n"/>
      <c r="I53" s="183">
        <f>+G53*H53</f>
        <v/>
      </c>
      <c r="J53" s="61" t="inlineStr">
        <is>
          <t>DU50</t>
        </is>
      </c>
      <c r="K53" s="61" t="inlineStr">
        <is>
          <t>m</t>
        </is>
      </c>
      <c r="L53" s="61" t="n">
        <v>60</v>
      </c>
      <c r="M53" s="61" t="n"/>
      <c r="N53" s="61" t="n"/>
      <c r="O53" s="61" t="n"/>
      <c r="P53" s="61" t="n"/>
    </row>
    <row r="54" ht="19.95" customFormat="1" customHeight="1" s="59">
      <c r="B54" s="185" t="n"/>
      <c r="C54" s="185" t="n"/>
      <c r="D54" s="185" t="n"/>
      <c r="E54" s="185" t="n"/>
      <c r="F54" s="185" t="n"/>
      <c r="G54" s="61" t="n"/>
      <c r="H54" s="183" t="n"/>
      <c r="I54" s="183">
        <f>+G54*H54</f>
        <v/>
      </c>
      <c r="J54" s="61" t="inlineStr">
        <is>
          <t>DC50</t>
        </is>
      </c>
      <c r="K54" s="61" t="inlineStr">
        <is>
          <t>m</t>
        </is>
      </c>
      <c r="L54" s="61" t="n">
        <v>30</v>
      </c>
      <c r="M54" s="61" t="n"/>
      <c r="N54" s="61" t="n"/>
      <c r="O54" s="61" t="n"/>
      <c r="P54" s="61" t="n"/>
    </row>
    <row r="55" ht="22.2" customFormat="1" customHeight="1" s="59">
      <c r="B55" s="62" t="n">
        <v>46017</v>
      </c>
      <c r="C55" s="61" t="n">
        <v>30</v>
      </c>
      <c r="D55" s="78" t="inlineStr">
        <is>
          <t>C6 Blok C-AZ-404 mahallinde bulunan Hilton lavabo güçlendirmesi, mekanik çalışmalar nedeniyle zarar görmüş olup, ilgili imalat tarafımızca düzeltilmiştir.</t>
        </is>
      </c>
      <c r="E55" s="63" t="inlineStr">
        <is>
          <t>1 Usta
1 Usta Yard.</t>
        </is>
      </c>
      <c r="F55" s="61" t="inlineStr">
        <is>
          <t>yevmiye</t>
        </is>
      </c>
      <c r="G55" s="61" t="n">
        <v>1</v>
      </c>
      <c r="H55" s="183" t="n"/>
      <c r="I55" s="183">
        <f>+G55*H55</f>
        <v/>
      </c>
      <c r="J55" s="61" t="inlineStr">
        <is>
          <t>40*40*2 mm Kutu Profil</t>
        </is>
      </c>
      <c r="K55" s="61" t="n"/>
      <c r="L55" s="61" t="n"/>
      <c r="M55" s="61" t="n"/>
      <c r="N55" s="61" t="n"/>
      <c r="O55" s="61" t="n"/>
      <c r="P55" s="61" t="n"/>
    </row>
    <row r="56" ht="19.95" customFormat="1" customHeight="1" s="59">
      <c r="B56" s="185" t="n"/>
      <c r="C56" s="185" t="n"/>
      <c r="D56" s="185" t="n"/>
      <c r="E56" s="185" t="n"/>
      <c r="F56" s="185" t="n"/>
      <c r="G56" s="61" t="n">
        <v>1</v>
      </c>
      <c r="H56" s="183" t="n"/>
      <c r="I56" s="183">
        <f>+G56*H56</f>
        <v/>
      </c>
      <c r="J56" s="61" t="n"/>
      <c r="K56" s="61" t="n"/>
      <c r="L56" s="61" t="n"/>
      <c r="M56" s="61" t="n"/>
      <c r="N56" s="61" t="n"/>
      <c r="O56" s="61" t="n"/>
      <c r="P56" s="61" t="n"/>
    </row>
    <row r="57" ht="22.2" customFormat="1" customHeight="1" s="59">
      <c r="B57" s="62" t="n">
        <v>46017</v>
      </c>
      <c r="C57" s="61" t="n">
        <v>31</v>
      </c>
      <c r="D57" s="78" t="inlineStr">
        <is>
          <t>C7 Blok C-AZ-445/446/447 mahallerine kutu profil duvarlar ve güçlendirmeler sökülmüş, zarar verilmiştir. İmalatlar tarafımızca proje doğrultusunda tekrar yapılmıştır.</t>
        </is>
      </c>
      <c r="E57" s="63" t="inlineStr">
        <is>
          <t>2 Usta
2 Usta Yard.</t>
        </is>
      </c>
      <c r="F57" s="61" t="inlineStr">
        <is>
          <t>yevmiye</t>
        </is>
      </c>
      <c r="G57" s="61" t="n">
        <v>2</v>
      </c>
      <c r="H57" s="183" t="n"/>
      <c r="I57" s="183">
        <f>+G57*H57</f>
        <v/>
      </c>
      <c r="J57" s="61" t="inlineStr">
        <is>
          <t>40*40*2 mm Kutu Profil</t>
        </is>
      </c>
      <c r="K57" s="61" t="inlineStr">
        <is>
          <t>m</t>
        </is>
      </c>
      <c r="L57" s="61" t="n">
        <v>19.3</v>
      </c>
      <c r="M57" s="61" t="n"/>
      <c r="N57" s="61" t="n"/>
      <c r="O57" s="61" t="n"/>
      <c r="P57" s="61" t="n"/>
    </row>
    <row r="58" ht="19.95" customFormat="1" customHeight="1" s="59">
      <c r="B58" s="188" t="n"/>
      <c r="C58" s="188" t="n"/>
      <c r="D58" s="188" t="n"/>
      <c r="E58" s="188" t="n"/>
      <c r="F58" s="188" t="n"/>
      <c r="G58" s="185" t="n"/>
      <c r="H58" s="183" t="n"/>
      <c r="I58" s="183">
        <f>+G58*H58</f>
        <v/>
      </c>
      <c r="J58" s="61" t="inlineStr">
        <is>
          <t>20*40*2 mm Kutu Profil</t>
        </is>
      </c>
      <c r="K58" s="61" t="inlineStr">
        <is>
          <t>m</t>
        </is>
      </c>
      <c r="L58" s="61" t="n">
        <v>5.2</v>
      </c>
      <c r="M58" s="61" t="n"/>
      <c r="N58" s="61" t="n"/>
      <c r="O58" s="61" t="n"/>
      <c r="P58" s="61" t="n"/>
    </row>
    <row r="59" ht="19.95" customFormat="1" customHeight="1" s="59">
      <c r="B59" s="185" t="n"/>
      <c r="C59" s="185" t="n"/>
      <c r="D59" s="185" t="n"/>
      <c r="E59" s="185" t="n"/>
      <c r="F59" s="185" t="n"/>
      <c r="G59" s="61" t="n">
        <v>2</v>
      </c>
      <c r="H59" s="183" t="n"/>
      <c r="I59" s="183">
        <f>+G59*H59</f>
        <v/>
      </c>
      <c r="J59" s="61" t="inlineStr">
        <is>
          <t>60*40*2 mm Kutu Profil</t>
        </is>
      </c>
      <c r="K59" s="61" t="inlineStr">
        <is>
          <t>m</t>
        </is>
      </c>
      <c r="L59" s="61" t="n">
        <v>9.800000000000001</v>
      </c>
      <c r="M59" s="61" t="n"/>
      <c r="N59" s="61" t="n"/>
      <c r="O59" s="61" t="n"/>
      <c r="P59" s="61" t="n"/>
    </row>
    <row r="60" ht="22.2" customFormat="1" customHeight="1" s="59">
      <c r="B60" s="62" t="n">
        <v>46017</v>
      </c>
      <c r="C60" s="61" t="n">
        <v>32</v>
      </c>
      <c r="D60" s="78" t="inlineStr">
        <is>
          <t>C3 Blok C-1-091/092 mahallerinde mekanik çalışmalar sırasında manlift kullanımı nedeniyle duvar imalatı zarar görmüş olup, ilgili imalat tarafımızca sökülerek yeniden yapılmıştır.</t>
        </is>
      </c>
      <c r="E60" s="63" t="inlineStr">
        <is>
          <t>8 Usta</t>
        </is>
      </c>
      <c r="F60" s="61" t="inlineStr">
        <is>
          <t>yevmiye</t>
        </is>
      </c>
      <c r="G60" s="61" t="n">
        <v>8</v>
      </c>
      <c r="H60" s="183" t="n"/>
      <c r="I60" s="183">
        <f>+G60*H60</f>
        <v/>
      </c>
      <c r="J60" s="61" t="inlineStr">
        <is>
          <t>20 cm gazbeton</t>
        </is>
      </c>
      <c r="K60" s="61" t="inlineStr">
        <is>
          <t>m²</t>
        </is>
      </c>
      <c r="L60" s="61" t="n">
        <v>8</v>
      </c>
      <c r="M60" s="61" t="n"/>
      <c r="N60" s="61" t="n"/>
      <c r="O60" s="61" t="n"/>
      <c r="P60" s="61" t="n"/>
    </row>
    <row r="61" ht="19.95" customFormat="1" customHeight="1" s="59">
      <c r="B61" s="185" t="n"/>
      <c r="C61" s="185" t="n"/>
      <c r="D61" s="185" t="n"/>
      <c r="E61" s="185" t="n"/>
      <c r="F61" s="185" t="n"/>
      <c r="G61" s="185" t="n"/>
      <c r="H61" s="183" t="n"/>
      <c r="I61" s="183">
        <f>+G61*H61</f>
        <v/>
      </c>
      <c r="J61" s="61" t="inlineStr">
        <is>
          <t>Beton</t>
        </is>
      </c>
      <c r="K61" s="61" t="inlineStr">
        <is>
          <t>m³</t>
        </is>
      </c>
      <c r="L61" s="61" t="n">
        <v>0.4</v>
      </c>
      <c r="M61" s="61" t="n"/>
      <c r="N61" s="61" t="n"/>
      <c r="O61" s="61" t="n"/>
      <c r="P61" s="61" t="n"/>
    </row>
    <row r="62" ht="36" customFormat="1" customHeight="1" s="59">
      <c r="B62" s="90" t="n">
        <v>46383</v>
      </c>
      <c r="C62" s="93" t="n">
        <v>33</v>
      </c>
      <c r="D62" s="100" t="inlineStr">
        <is>
          <t>C7 Blok C-AZ-213/215/218 mahallerine kutu profil duvarlar ve güçlendirmeler sökülmüş, zarar verilmiştir. İmalatlar tarafımızca proje doğrultusunda tekrar yapılmıştır.</t>
        </is>
      </c>
      <c r="E62" s="93" t="inlineStr">
        <is>
          <t>3 Usta</t>
        </is>
      </c>
      <c r="F62" s="93" t="inlineStr">
        <is>
          <t>yevmiye</t>
        </is>
      </c>
      <c r="G62" s="94" t="n">
        <v>3</v>
      </c>
      <c r="H62" s="183" t="n"/>
      <c r="I62" s="183">
        <f>+G62*H62</f>
        <v/>
      </c>
      <c r="J62" s="61" t="inlineStr">
        <is>
          <t>40*40*2 mm Kutu Profil</t>
        </is>
      </c>
      <c r="K62" s="61" t="inlineStr">
        <is>
          <t>m</t>
        </is>
      </c>
      <c r="L62" s="61" t="n">
        <v>13</v>
      </c>
      <c r="M62" s="61" t="n"/>
      <c r="N62" s="61" t="n"/>
      <c r="O62" s="61" t="n"/>
      <c r="P62" s="61" t="n"/>
    </row>
    <row r="63" ht="22.2" customFormat="1" customHeight="1" s="59">
      <c r="B63" s="62" t="n">
        <v>46383</v>
      </c>
      <c r="C63" s="61" t="n">
        <v>34</v>
      </c>
      <c r="D63" s="78" t="inlineStr">
        <is>
          <t>C7 Blok C-AZ-205 mahalinde bulunan alçıpanel duvarlara zarar verilmiş olup, zarar gören duvarlar sökülerek yeni alçıpanel montajı yapılmıştır.</t>
        </is>
      </c>
      <c r="E63" s="63" t="inlineStr">
        <is>
          <t>3 Usta
2 Usta Yard.</t>
        </is>
      </c>
      <c r="F63" s="61" t="inlineStr">
        <is>
          <t>yevmiye</t>
        </is>
      </c>
      <c r="G63" s="61" t="n">
        <v>3</v>
      </c>
      <c r="H63" s="183" t="n"/>
      <c r="I63" s="183">
        <f>+G63*H63</f>
        <v/>
      </c>
      <c r="J63" s="61" t="inlineStr">
        <is>
          <t>FX Ultra Alçıpan</t>
        </is>
      </c>
      <c r="K63" s="61" t="inlineStr">
        <is>
          <t>m²</t>
        </is>
      </c>
      <c r="L63" s="61" t="n">
        <v>35</v>
      </c>
      <c r="M63" s="61" t="n"/>
      <c r="N63" s="61" t="n"/>
      <c r="O63" s="61" t="n"/>
      <c r="P63" s="61" t="n"/>
    </row>
    <row r="64" ht="19.95" customFormat="1" customHeight="1" s="59">
      <c r="B64" s="185" t="n"/>
      <c r="C64" s="185" t="n"/>
      <c r="D64" s="185" t="n"/>
      <c r="E64" s="185" t="n"/>
      <c r="F64" s="185" t="n"/>
      <c r="G64" s="61" t="n">
        <v>2</v>
      </c>
      <c r="H64" s="183" t="n"/>
      <c r="I64" s="183">
        <f>+G64*H64</f>
        <v/>
      </c>
      <c r="J64" s="61" t="n"/>
      <c r="K64" s="61" t="n"/>
      <c r="L64" s="61" t="n"/>
      <c r="M64" s="61" t="n"/>
      <c r="N64" s="61" t="n"/>
      <c r="O64" s="61" t="n"/>
      <c r="P64" s="61" t="n"/>
    </row>
    <row r="65" ht="22.2" customFormat="1" customHeight="1" s="59">
      <c r="B65" s="62" t="n">
        <v>46384</v>
      </c>
      <c r="C65" s="61" t="n">
        <v>35</v>
      </c>
      <c r="D65" s="78" t="inlineStr">
        <is>
          <t>C7 Blok C-AZ-423 mahalinde bulunan alçıpanel duvarlara zarar verilmiş olup, zarar gören duvarlar sökülerek yeni alçıpanel montajı yapılmıştır.</t>
        </is>
      </c>
      <c r="E65" s="63" t="inlineStr">
        <is>
          <t>2 Usta
2 Usta Yard.</t>
        </is>
      </c>
      <c r="F65" s="61" t="inlineStr">
        <is>
          <t>yevmiye</t>
        </is>
      </c>
      <c r="G65" s="61" t="n">
        <v>2</v>
      </c>
      <c r="H65" s="183" t="n"/>
      <c r="I65" s="183">
        <f>+G65*H65</f>
        <v/>
      </c>
      <c r="J65" s="63" t="inlineStr">
        <is>
          <t>FX Ultra Alçıpan</t>
        </is>
      </c>
      <c r="K65" s="61" t="inlineStr">
        <is>
          <t>m²</t>
        </is>
      </c>
      <c r="L65" s="61" t="n">
        <v>18</v>
      </c>
      <c r="M65" s="61" t="n"/>
      <c r="N65" s="61" t="n"/>
      <c r="O65" s="61" t="n"/>
      <c r="P65" s="61" t="n"/>
    </row>
    <row r="66" ht="19.95" customFormat="1" customHeight="1" s="59">
      <c r="B66" s="185" t="n"/>
      <c r="C66" s="185" t="n"/>
      <c r="D66" s="185" t="n"/>
      <c r="E66" s="185" t="n"/>
      <c r="F66" s="185" t="n"/>
      <c r="G66" s="61" t="n">
        <v>2</v>
      </c>
      <c r="H66" s="183" t="n"/>
      <c r="I66" s="183">
        <f>+G66*H66</f>
        <v/>
      </c>
      <c r="J66" s="61" t="n"/>
      <c r="K66" s="61" t="n"/>
      <c r="L66" s="61" t="n"/>
      <c r="M66" s="61" t="n"/>
      <c r="N66" s="61" t="n"/>
      <c r="O66" s="61" t="n"/>
      <c r="P66" s="61" t="n"/>
    </row>
    <row r="67" ht="22.2" customFormat="1" customHeight="1" s="59">
      <c r="B67" s="62" t="n">
        <v>46384</v>
      </c>
      <c r="C67" s="61" t="n">
        <v>36</v>
      </c>
      <c r="D67" s="78" t="inlineStr">
        <is>
          <t>Zemin kat C3 Blok genelinde bulunan alçıpanel duvarlara zarar verilmiş olup, zarar gören duvarlar sökülerek yeni alçıpanel montajı yapılmıştır.</t>
        </is>
      </c>
      <c r="E67" s="63" t="inlineStr">
        <is>
          <t>3 Usta
2 Usta Yard.</t>
        </is>
      </c>
      <c r="F67" s="61" t="inlineStr">
        <is>
          <t>yevmiye</t>
        </is>
      </c>
      <c r="G67" s="61" t="n">
        <v>3</v>
      </c>
      <c r="H67" s="183" t="n"/>
      <c r="I67" s="183">
        <f>+G67*H67</f>
        <v/>
      </c>
      <c r="J67" s="63" t="inlineStr">
        <is>
          <t>FX Ultra Alçıpan</t>
        </is>
      </c>
      <c r="K67" s="61" t="inlineStr">
        <is>
          <t>m²</t>
        </is>
      </c>
      <c r="L67" s="61" t="n">
        <v>26</v>
      </c>
      <c r="M67" s="61" t="n"/>
      <c r="N67" s="61" t="n"/>
      <c r="O67" s="61" t="n"/>
      <c r="P67" s="61" t="n"/>
    </row>
    <row r="68" ht="19.95" customFormat="1" customHeight="1" s="59">
      <c r="B68" s="185" t="n"/>
      <c r="C68" s="185" t="n"/>
      <c r="D68" s="185" t="n"/>
      <c r="E68" s="185" t="n"/>
      <c r="F68" s="185" t="n"/>
      <c r="G68" s="61" t="n">
        <v>2</v>
      </c>
      <c r="H68" s="183" t="n"/>
      <c r="I68" s="183">
        <f>+G68*H68</f>
        <v/>
      </c>
      <c r="J68" s="61" t="n"/>
      <c r="K68" s="61" t="n"/>
      <c r="L68" s="61" t="n"/>
      <c r="M68" s="61" t="n"/>
      <c r="N68" s="61" t="n"/>
      <c r="O68" s="61" t="n"/>
      <c r="P68" s="61" t="n"/>
    </row>
    <row r="69" ht="40.8" customFormat="1" customHeight="1" s="59">
      <c r="B69" s="90" t="n">
        <v>46094</v>
      </c>
      <c r="C69" s="93" t="n">
        <v>37</v>
      </c>
      <c r="D69" s="100" t="inlineStr">
        <is>
          <t>C Blok’ta yürütülen çalışmalarda iş sağlığı ve güvenliği koordinasyonunu sağlamak amacıyla görevlendirilen İSG Destek Elemanları'nın çalışmaları ekte sunulan puantaj ile kayıt altına alınmıştır.-AĞUSTOS</t>
        </is>
      </c>
      <c r="E69" s="93" t="inlineStr">
        <is>
          <t>Düz işçi</t>
        </is>
      </c>
      <c r="F69" s="93" t="inlineStr">
        <is>
          <t>yevmiye</t>
        </is>
      </c>
      <c r="G69" s="61" t="n">
        <v>7</v>
      </c>
      <c r="H69" s="183" t="n"/>
      <c r="I69" s="183">
        <f>+G69*H69</f>
        <v/>
      </c>
      <c r="J69" s="61" t="n"/>
      <c r="K69" s="61" t="n"/>
      <c r="L69" s="61" t="n"/>
      <c r="M69" s="61" t="n"/>
      <c r="N69" s="61" t="n"/>
      <c r="O69" s="61" t="n"/>
      <c r="P69" s="61" t="n"/>
    </row>
    <row r="70" ht="22.2" customFormat="1" customHeight="1" s="59">
      <c r="B70" s="62" t="n">
        <v>46094</v>
      </c>
      <c r="C70" s="61" t="n">
        <v>38</v>
      </c>
      <c r="D70" s="78" t="inlineStr">
        <is>
          <t>C Blok’ta yürütülen çalışmalarda iş sağlığı ve güvenliği koordinasyonunu sağlamak amacıyla görevlendirilen İSG Destek Elemanları'nın eylül ayı çalışmaları ekte sunulan puantaj ile kayıt altına alınmıştır.-EYLÜL</t>
        </is>
      </c>
      <c r="E70" s="63" t="inlineStr">
        <is>
          <t>Metin Koç (Düz İşçi)
Ferit Özer (Düz İşçi)</t>
        </is>
      </c>
      <c r="F70" s="61" t="inlineStr">
        <is>
          <t>yevmiye</t>
        </is>
      </c>
      <c r="G70" s="61" t="n">
        <v>7</v>
      </c>
      <c r="H70" s="183" t="n"/>
      <c r="I70" s="183">
        <f>+G70*H70</f>
        <v/>
      </c>
      <c r="J70" s="61" t="n"/>
      <c r="K70" s="61" t="n"/>
      <c r="L70" s="61" t="n"/>
      <c r="M70" s="61" t="n"/>
      <c r="N70" s="61" t="n"/>
      <c r="O70" s="61" t="n"/>
      <c r="P70" s="61" t="n"/>
    </row>
    <row r="71" ht="19.95" customFormat="1" customHeight="1" s="59">
      <c r="B71" s="185" t="n"/>
      <c r="C71" s="185" t="n"/>
      <c r="D71" s="185" t="n"/>
      <c r="E71" s="185" t="n"/>
      <c r="F71" s="185" t="n"/>
      <c r="G71" s="61" t="n">
        <v>19</v>
      </c>
      <c r="H71" s="183" t="n"/>
      <c r="I71" s="183">
        <f>+G71*H71</f>
        <v/>
      </c>
      <c r="J71" s="61" t="n"/>
      <c r="K71" s="61" t="n"/>
      <c r="L71" s="61" t="n"/>
      <c r="M71" s="61" t="n"/>
      <c r="N71" s="61" t="n"/>
      <c r="O71" s="61" t="n"/>
      <c r="P71" s="61" t="n"/>
    </row>
    <row r="72" ht="22.2" customFormat="1" customHeight="1" s="59">
      <c r="B72" s="62" t="n">
        <v>46094</v>
      </c>
      <c r="C72" s="61" t="n">
        <v>39</v>
      </c>
      <c r="D72" s="78" t="inlineStr">
        <is>
          <t>C Blok’ta yürütülen çalışmalarda iş sağlığı ve güvenliği koordinasyonunu sağlamak amacıyla görevlendirilen İSG Destek Elemanları'nın ekim ayı çalışmaları ekte sunulan puantaj ile kayıt altına alınmıştır.-EKİM</t>
        </is>
      </c>
      <c r="E72" s="63" t="inlineStr">
        <is>
          <t>Mustafa Çalağan (Düz İşçi)
Ferit Özer (Düz İşçi)</t>
        </is>
      </c>
      <c r="F72" s="61" t="inlineStr">
        <is>
          <t>yevmiye</t>
        </is>
      </c>
      <c r="G72" s="61" t="n">
        <v>31</v>
      </c>
      <c r="H72" s="183" t="n"/>
      <c r="I72" s="183">
        <f>+G72*H72</f>
        <v/>
      </c>
      <c r="J72" s="61" t="n"/>
      <c r="K72" s="61" t="n"/>
      <c r="L72" s="61" t="n"/>
      <c r="M72" s="61" t="n"/>
      <c r="N72" s="61" t="n"/>
      <c r="O72" s="61" t="n"/>
      <c r="P72" s="61" t="n"/>
    </row>
    <row r="73" ht="19.95" customFormat="1" customHeight="1" s="59">
      <c r="B73" s="185" t="n"/>
      <c r="C73" s="185" t="n"/>
      <c r="D73" s="185" t="n"/>
      <c r="E73" s="185" t="n"/>
      <c r="F73" s="185" t="n"/>
      <c r="G73" s="61" t="n">
        <v>25</v>
      </c>
      <c r="H73" s="183" t="n"/>
      <c r="I73" s="183">
        <f>+G73*H73</f>
        <v/>
      </c>
      <c r="J73" s="61" t="n"/>
      <c r="K73" s="61" t="n"/>
      <c r="L73" s="61" t="n"/>
      <c r="M73" s="61" t="n"/>
      <c r="N73" s="61" t="n"/>
      <c r="O73" s="61" t="n"/>
      <c r="P73" s="61" t="n"/>
    </row>
    <row r="74" ht="22.2" customFormat="1" customHeight="1" s="59">
      <c r="B74" s="62" t="n">
        <v>46094</v>
      </c>
      <c r="C74" s="61" t="n">
        <v>40</v>
      </c>
      <c r="D74" s="78" t="inlineStr">
        <is>
          <t>C Blok’ta yürütülen çalışmalarda iş sağlığı ve güvenliği koordinasyonunu sağlamak amacıyla görevlendirilen İSG Destek Elemanları'nın kasım ayı çalışmaları ekte sunulan puantaj ile kayıt altına alınmıştır.-KASIM</t>
        </is>
      </c>
      <c r="E74" s="63" t="inlineStr">
        <is>
          <t>Mustafa Çalağan (Düz İşçi)
Ferit Özer (Düz İşçi)</t>
        </is>
      </c>
      <c r="F74" s="61" t="inlineStr">
        <is>
          <t>yevmiye</t>
        </is>
      </c>
      <c r="G74" s="61" t="n">
        <v>30</v>
      </c>
      <c r="H74" s="183" t="n"/>
      <c r="I74" s="183">
        <f>+G74*H74</f>
        <v/>
      </c>
      <c r="J74" s="61" t="n"/>
      <c r="K74" s="61" t="n"/>
      <c r="L74" s="61" t="n"/>
      <c r="M74" s="61" t="n"/>
      <c r="N74" s="61" t="n"/>
      <c r="O74" s="61" t="n"/>
      <c r="P74" s="61" t="n"/>
    </row>
    <row r="75" ht="19.95" customFormat="1" customHeight="1" s="59">
      <c r="B75" s="185" t="n"/>
      <c r="C75" s="185" t="n"/>
      <c r="D75" s="185" t="n"/>
      <c r="E75" s="185" t="n"/>
      <c r="F75" s="185" t="n"/>
      <c r="G75" s="61" t="n">
        <v>26</v>
      </c>
      <c r="H75" s="183" t="n"/>
      <c r="I75" s="183">
        <f>+G75*H75</f>
        <v/>
      </c>
      <c r="J75" s="61" t="n"/>
      <c r="K75" s="61" t="n"/>
      <c r="L75" s="61" t="n"/>
      <c r="M75" s="61" t="n"/>
      <c r="N75" s="61" t="n"/>
      <c r="O75" s="61" t="n"/>
      <c r="P75" s="61" t="n"/>
    </row>
    <row r="76" ht="22.2" customFormat="1" customHeight="1" s="59">
      <c r="B76" s="62" t="n">
        <v>46094</v>
      </c>
      <c r="C76" s="61" t="n">
        <v>41</v>
      </c>
      <c r="D76" s="78" t="inlineStr">
        <is>
          <t>C Blok’ta yürütülen çalışmalarda iş sağlığı ve güvenliği koordinasyonunu sağlamak amacıyla görevlendirilen İSG Destek Elemanları'nın aralık ayı çalışmaları ekte sunulan puantaj ile kayıt altına alınmıştır.-ARALIK</t>
        </is>
      </c>
      <c r="E76" s="63" t="inlineStr">
        <is>
          <t>Mustafa Çalağan (Düz İşçi)
Erol Tuna (Düz İşçi)</t>
        </is>
      </c>
      <c r="F76" s="61" t="inlineStr">
        <is>
          <t>yevmiye</t>
        </is>
      </c>
      <c r="G76" s="61" t="n">
        <v>29</v>
      </c>
      <c r="H76" s="183" t="n"/>
      <c r="I76" s="183">
        <f>+G76*H76</f>
        <v/>
      </c>
      <c r="J76" s="61" t="n"/>
      <c r="K76" s="61" t="n"/>
      <c r="L76" s="61" t="n"/>
      <c r="M76" s="61" t="n"/>
      <c r="N76" s="61" t="n"/>
      <c r="O76" s="61" t="n"/>
      <c r="P76" s="61" t="n"/>
    </row>
    <row r="77" ht="19.95" customFormat="1" customHeight="1" s="59">
      <c r="B77" s="185" t="n"/>
      <c r="C77" s="185" t="n"/>
      <c r="D77" s="185" t="n"/>
      <c r="E77" s="185" t="n"/>
      <c r="F77" s="185" t="n"/>
      <c r="G77" s="61" t="n">
        <v>28</v>
      </c>
      <c r="H77" s="183" t="n"/>
      <c r="I77" s="183">
        <f>+G77*H77</f>
        <v/>
      </c>
      <c r="J77" s="61" t="n"/>
      <c r="K77" s="61" t="n"/>
      <c r="L77" s="61" t="n"/>
      <c r="M77" s="61" t="n"/>
      <c r="N77" s="61" t="n"/>
      <c r="O77" s="61" t="n"/>
      <c r="P77" s="61" t="n"/>
    </row>
    <row r="78" ht="22.2" customFormat="1" customHeight="1" s="59">
      <c r="B78" s="62" t="n">
        <v>46094</v>
      </c>
      <c r="C78" s="61" t="n">
        <v>42</v>
      </c>
      <c r="D78" s="78" t="inlineStr">
        <is>
          <t>C Blok’ta yürütülen çalışmalarda iş sağlığı ve güvenliği koordinasyonunu sağlamak amacıyla görevlendirilen İSG Destek Elemanları'nın ocak ayı çalışmaları ekte sunulan puantaj ile kayıt altına alınmıştır.-OCAK</t>
        </is>
      </c>
      <c r="E78" s="63" t="inlineStr">
        <is>
          <t>Mustafa Artok (Düz İşçi)
Erol Tuna (Düz İşçi)</t>
        </is>
      </c>
      <c r="F78" s="61" t="inlineStr">
        <is>
          <t>yevmiye</t>
        </is>
      </c>
      <c r="G78" s="61" t="n">
        <v>9</v>
      </c>
      <c r="H78" s="183" t="n"/>
      <c r="I78" s="183">
        <f>+G78*H78</f>
        <v/>
      </c>
      <c r="J78" s="61" t="n"/>
      <c r="K78" s="61" t="n"/>
      <c r="L78" s="61" t="n"/>
      <c r="M78" s="61" t="n"/>
      <c r="N78" s="61" t="n"/>
      <c r="O78" s="61" t="n"/>
      <c r="P78" s="61" t="n"/>
    </row>
    <row r="79" ht="19.95" customFormat="1" customHeight="1" s="59">
      <c r="B79" s="185" t="n"/>
      <c r="C79" s="185" t="n"/>
      <c r="D79" s="185" t="n"/>
      <c r="E79" s="185" t="n"/>
      <c r="F79" s="185" t="n"/>
      <c r="G79" s="61" t="n">
        <v>26</v>
      </c>
      <c r="H79" s="183" t="n"/>
      <c r="I79" s="183">
        <f>+G79*H79</f>
        <v/>
      </c>
      <c r="J79" s="61" t="n"/>
      <c r="K79" s="61" t="n"/>
      <c r="L79" s="61" t="n"/>
      <c r="M79" s="61" t="n"/>
      <c r="N79" s="61" t="n"/>
      <c r="O79" s="61" t="n"/>
      <c r="P79" s="61" t="n"/>
    </row>
    <row r="80" ht="22.2" customFormat="1" customHeight="1" s="59">
      <c r="B80" s="62" t="n">
        <v>46094</v>
      </c>
      <c r="C80" s="61" t="n">
        <v>43</v>
      </c>
      <c r="D80" s="78" t="inlineStr">
        <is>
          <t>C Blok’ta yürütülen çalışmalarda iş sağlığı ve güvenliği koordinasyonunu sağlamak amacıyla görevlendirilen İSG Destek Elemanları'nın şubat ayı çalışmaları ekte sunulan puantaj ile kayıt altına alınmıştır.-ŞUBAT</t>
        </is>
      </c>
      <c r="E80" s="63" t="inlineStr">
        <is>
          <t>Mustafa Artok (Düz İşçi)
Erol Tuna (Düz İşçi)</t>
        </is>
      </c>
      <c r="F80" s="61" t="inlineStr">
        <is>
          <t>yevmiye</t>
        </is>
      </c>
      <c r="G80" s="61" t="n">
        <v>27</v>
      </c>
      <c r="H80" s="183" t="n"/>
      <c r="I80" s="183">
        <f>+G80*H80</f>
        <v/>
      </c>
      <c r="J80" s="61" t="n"/>
      <c r="K80" s="61" t="n"/>
      <c r="L80" s="61" t="n"/>
      <c r="M80" s="61" t="n"/>
      <c r="N80" s="61" t="n"/>
      <c r="O80" s="61" t="n"/>
      <c r="P80" s="61" t="n"/>
    </row>
    <row r="81" ht="19.95" customFormat="1" customHeight="1" s="59">
      <c r="B81" s="185" t="n"/>
      <c r="C81" s="185" t="n"/>
      <c r="D81" s="185" t="n"/>
      <c r="E81" s="185" t="n"/>
      <c r="F81" s="185" t="n"/>
      <c r="G81" s="61" t="n">
        <v>25</v>
      </c>
      <c r="H81" s="183" t="n"/>
      <c r="I81" s="183">
        <f>+G81*H81</f>
        <v/>
      </c>
      <c r="J81" s="61" t="n"/>
      <c r="K81" s="61" t="n"/>
      <c r="L81" s="61" t="n"/>
      <c r="M81" s="61" t="n"/>
      <c r="N81" s="61" t="n"/>
      <c r="O81" s="61" t="n"/>
      <c r="P81" s="61" t="n"/>
    </row>
    <row r="82" ht="19.95" customFormat="1" customHeight="1" s="59">
      <c r="B82" s="62" t="n">
        <v>46094</v>
      </c>
      <c r="C82" s="61" t="n">
        <v>44</v>
      </c>
      <c r="D82" s="78" t="inlineStr">
        <is>
          <t>Sözleşme gereği işveren tarafından talep edilen isg uzmanı bedeli.-ARALIK</t>
        </is>
      </c>
      <c r="E82" s="61" t="inlineStr">
        <is>
          <t>2 İSG Personeli</t>
        </is>
      </c>
      <c r="F82" s="61" t="inlineStr">
        <is>
          <t>ücret</t>
        </is>
      </c>
      <c r="G82" s="61" t="n">
        <v>2</v>
      </c>
      <c r="H82" s="183" t="n"/>
      <c r="I82" s="183">
        <f>+G82*H82</f>
        <v/>
      </c>
      <c r="J82" s="61" t="n"/>
      <c r="K82" s="61" t="n"/>
      <c r="L82" s="61" t="n"/>
      <c r="M82" s="61" t="n"/>
      <c r="N82" s="61" t="n"/>
      <c r="O82" s="61" t="n"/>
      <c r="P82" s="61" t="n"/>
    </row>
    <row r="83" ht="19.95" customFormat="1" customHeight="1" s="59">
      <c r="B83" s="62" t="n">
        <v>46094</v>
      </c>
      <c r="C83" s="61" t="n">
        <v>45</v>
      </c>
      <c r="D83" s="78" t="inlineStr">
        <is>
          <t>Sözleşme gereği işveren tarafından talep edilen isg uzmanı bedeli.-OCAK</t>
        </is>
      </c>
      <c r="E83" s="61" t="inlineStr">
        <is>
          <t>2 İSG Personeli</t>
        </is>
      </c>
      <c r="F83" s="61" t="inlineStr">
        <is>
          <t>ücret</t>
        </is>
      </c>
      <c r="G83" s="61" t="n">
        <v>2</v>
      </c>
      <c r="H83" s="183" t="n"/>
      <c r="I83" s="183">
        <f>+G83*H83</f>
        <v/>
      </c>
      <c r="J83" s="94" t="n"/>
      <c r="K83" s="61" t="n"/>
      <c r="L83" s="61" t="n"/>
      <c r="M83" s="61" t="n"/>
      <c r="N83" s="61" t="n"/>
      <c r="O83" s="61" t="n"/>
      <c r="P83" s="61" t="n"/>
    </row>
    <row r="84" ht="19.95" customFormat="1" customHeight="1" s="59">
      <c r="B84" s="62" t="n">
        <v>46094</v>
      </c>
      <c r="C84" s="92" t="n">
        <v>46</v>
      </c>
      <c r="D84" s="78" t="inlineStr">
        <is>
          <t>Sözleşme gereği işveren tarafından talep edilen isg uzmanı bedeli.-ŞUBAT</t>
        </is>
      </c>
      <c r="E84" s="61" t="inlineStr">
        <is>
          <t>2 İSG Personeli</t>
        </is>
      </c>
      <c r="F84" s="61" t="inlineStr">
        <is>
          <t>ücret</t>
        </is>
      </c>
      <c r="G84" s="61" t="n">
        <v>2</v>
      </c>
      <c r="H84" s="183" t="n"/>
      <c r="I84" s="183">
        <f>+G84*H84</f>
        <v/>
      </c>
      <c r="J84" s="94" t="n"/>
      <c r="K84" s="61" t="n"/>
      <c r="L84" s="61" t="n"/>
      <c r="M84" s="61" t="n"/>
      <c r="N84" s="61" t="n"/>
      <c r="O84" s="61" t="n"/>
      <c r="P84" s="61" t="n"/>
    </row>
    <row r="85" ht="31.2" customFormat="1" customHeight="1" s="59">
      <c r="B85" s="89" t="n">
        <v>46094</v>
      </c>
      <c r="C85" s="92" t="n">
        <v>47</v>
      </c>
      <c r="D85" s="95" t="inlineStr">
        <is>
          <t>Bodrum kat C7 Blok C-B1-306 mahalinde rampa perdesi için kalıp imalatı sırasında sıvası tamamlanan duvarlara zarar verilmiş olup, zarar gören alanlarda sıva ve saten tamiratları  yapılmıştır.</t>
        </is>
      </c>
      <c r="E85" s="92" t="inlineStr">
        <is>
          <t>3 Usta</t>
        </is>
      </c>
      <c r="F85" s="92" t="inlineStr">
        <is>
          <t>yevmiye</t>
        </is>
      </c>
      <c r="G85" s="61" t="n">
        <v>3</v>
      </c>
      <c r="H85" s="183" t="n"/>
      <c r="I85" s="183">
        <f>+G85*H85</f>
        <v/>
      </c>
      <c r="J85" s="94" t="n"/>
      <c r="K85" s="61" t="n"/>
      <c r="L85" s="61" t="n"/>
      <c r="M85" s="61" t="n"/>
      <c r="N85" s="61" t="n"/>
      <c r="O85" s="61" t="n"/>
      <c r="P85" s="61" t="n"/>
    </row>
    <row r="86" ht="20.4" customFormat="1" customHeight="1" s="59">
      <c r="B86" s="62" t="n">
        <v>46027</v>
      </c>
      <c r="C86" s="61" t="n">
        <v>48</v>
      </c>
      <c r="D86" s="95" t="inlineStr">
        <is>
          <t>REC talebi ile mobilizasyon alanında mekanik oda inşaa edildi. 143 m2 gazbeton duvar yapıldı.</t>
        </is>
      </c>
      <c r="E86" s="92" t="inlineStr">
        <is>
          <t>4 Usta</t>
        </is>
      </c>
      <c r="F86" s="92" t="inlineStr">
        <is>
          <t>yevmiye</t>
        </is>
      </c>
      <c r="G86" s="61" t="n">
        <v>4</v>
      </c>
      <c r="H86" s="183" t="n"/>
      <c r="I86" s="183">
        <f>+G86*H86</f>
        <v/>
      </c>
      <c r="J86" s="61" t="n"/>
      <c r="K86" s="61" t="n"/>
      <c r="L86" s="61" t="n"/>
      <c r="M86" s="61" t="n"/>
      <c r="N86" s="61" t="n"/>
      <c r="O86" s="61" t="n"/>
      <c r="P86" s="61" t="n"/>
    </row>
    <row r="87" ht="23.4" customFormat="1" customHeight="1" s="59">
      <c r="B87" s="185" t="n"/>
      <c r="C87" s="185" t="n"/>
      <c r="D87" s="95" t="inlineStr">
        <is>
          <t>(1.1.1) 15 cm kalınlığında gazbeton yapılması</t>
        </is>
      </c>
      <c r="E87" s="97" t="n"/>
      <c r="F87" s="92" t="inlineStr">
        <is>
          <t>m²</t>
        </is>
      </c>
      <c r="G87" s="61" t="n">
        <v>143</v>
      </c>
      <c r="H87" s="183" t="n"/>
      <c r="I87" s="183">
        <f>+G87*H87</f>
        <v/>
      </c>
      <c r="J87" s="63" t="inlineStr">
        <is>
          <t>15 cm kalınlığında gazbeton yapılması</t>
        </is>
      </c>
      <c r="K87" s="61" t="inlineStr">
        <is>
          <t>m²</t>
        </is>
      </c>
      <c r="L87" s="61" t="n">
        <v>143</v>
      </c>
      <c r="M87" s="61" t="n"/>
      <c r="N87" s="61" t="n"/>
      <c r="O87" s="61" t="n"/>
      <c r="P87" s="61" t="n"/>
    </row>
    <row r="88" ht="35.4" customFormat="1" customHeight="1" s="59">
      <c r="B88" s="62" t="n">
        <v>46039</v>
      </c>
      <c r="C88" s="61" t="n">
        <v>49</v>
      </c>
      <c r="D88" s="95" t="inlineStr">
        <is>
          <t>C3 Blok 5.20 kotunda mekanik firmasının çalışmaları sırasında imalatı tamamlanmış alçıpan duvara manlıft ile çarparak zarar vermiştir. Zarar gören alanlar sökülüp tekrar yapılmıştır.</t>
        </is>
      </c>
      <c r="E88" s="97" t="inlineStr">
        <is>
          <t>3 Usta</t>
        </is>
      </c>
      <c r="F88" s="92" t="inlineStr">
        <is>
          <t>yevmiye</t>
        </is>
      </c>
      <c r="G88" s="61" t="n">
        <v>3</v>
      </c>
      <c r="H88" s="183" t="n"/>
      <c r="I88" s="183">
        <f>+G88*H88</f>
        <v/>
      </c>
      <c r="J88" s="63" t="inlineStr">
        <is>
          <t>FX Ultra Alçıpan</t>
        </is>
      </c>
      <c r="K88" s="61" t="inlineStr">
        <is>
          <t>m²</t>
        </is>
      </c>
      <c r="L88" s="61" t="n">
        <v>10</v>
      </c>
      <c r="M88" s="61" t="n"/>
      <c r="N88" s="61" t="n"/>
      <c r="O88" s="61" t="n"/>
      <c r="P88" s="61" t="n"/>
    </row>
    <row r="89" ht="35.4" customFormat="1" customHeight="1" s="59">
      <c r="B89" s="90" t="n">
        <v>46047</v>
      </c>
      <c r="C89" s="93" t="n">
        <v>50</v>
      </c>
      <c r="D89" s="95" t="inlineStr">
        <is>
          <t>C3 Blok 10.20 kotunda yağış nedeniyle biriken su, imalat çalışmalarının devam edebilmesi amacıyla tarafımızca tahliye edilmiştir.</t>
        </is>
      </c>
      <c r="E89" s="97" t="inlineStr">
        <is>
          <t>2 Usta Yard.</t>
        </is>
      </c>
      <c r="F89" s="92" t="inlineStr">
        <is>
          <t>yevmiye</t>
        </is>
      </c>
      <c r="G89" s="61" t="n">
        <v>2</v>
      </c>
      <c r="H89" s="183" t="n"/>
      <c r="I89" s="183">
        <f>+G89*H89</f>
        <v/>
      </c>
      <c r="J89" s="63" t="inlineStr">
        <is>
          <t>FX Ultra Alçıpan</t>
        </is>
      </c>
      <c r="K89" s="61" t="inlineStr">
        <is>
          <t>m²</t>
        </is>
      </c>
      <c r="L89" s="61" t="n">
        <v>10</v>
      </c>
      <c r="M89" s="61" t="n"/>
      <c r="N89" s="61" t="n"/>
      <c r="O89" s="61" t="n"/>
      <c r="P89" s="61" t="n"/>
    </row>
    <row r="90" ht="22.2" customFormat="1" customHeight="1" s="59">
      <c r="B90" s="62" t="n">
        <v>46062</v>
      </c>
      <c r="C90" s="61" t="n">
        <v>51</v>
      </c>
      <c r="D90" s="78" t="inlineStr">
        <is>
          <t>C7 Blok -4.80 kotu B Blok tarafında cephe kalıp imalatı sırasında cephe duvarlarına zarar verilmiş olup, REC talebi doğrultusunda alçıpan giydirme duvar profilleri sökülmüştür.</t>
        </is>
      </c>
      <c r="E90" s="63" t="inlineStr">
        <is>
          <t>3 Usta
1 Usta Yard.</t>
        </is>
      </c>
      <c r="F90" s="61" t="inlineStr">
        <is>
          <t>yevmiye</t>
        </is>
      </c>
      <c r="G90" s="61" t="n">
        <v>3</v>
      </c>
      <c r="H90" s="183" t="n"/>
      <c r="I90" s="183">
        <f>+G90*H90</f>
        <v/>
      </c>
      <c r="J90" s="61" t="n"/>
      <c r="K90" s="61" t="n"/>
      <c r="L90" s="61" t="n"/>
      <c r="M90" s="61" t="n"/>
      <c r="N90" s="61" t="n"/>
      <c r="O90" s="61" t="n"/>
      <c r="P90" s="61" t="n"/>
    </row>
    <row r="91" ht="19.95" customFormat="1" customHeight="1" s="59">
      <c r="B91" s="185" t="n"/>
      <c r="C91" s="185" t="n"/>
      <c r="D91" s="185" t="n"/>
      <c r="E91" s="185" t="n"/>
      <c r="F91" s="185" t="n"/>
      <c r="G91" s="61" t="n">
        <v>1</v>
      </c>
      <c r="H91" s="183" t="n"/>
      <c r="I91" s="183">
        <f>+G91*H91</f>
        <v/>
      </c>
      <c r="J91" s="61" t="n"/>
      <c r="K91" s="61" t="n"/>
      <c r="L91" s="61" t="n"/>
      <c r="M91" s="61" t="n"/>
      <c r="N91" s="61" t="n"/>
      <c r="O91" s="61" t="n"/>
      <c r="P91" s="61" t="n"/>
    </row>
    <row r="92" ht="30" customFormat="1" customHeight="1" s="59">
      <c r="B92" s="62" t="n">
        <v>46066</v>
      </c>
      <c r="C92" s="61" t="n">
        <v>52</v>
      </c>
      <c r="D92" s="78" t="inlineStr">
        <is>
          <t>C6-7 Bloklar -10.60 kotunda yağış nedeniyle biriken su, imalat çalışmalarının devam edebilmesi amacıyla tarafımızca tahliye edilmiştir</t>
        </is>
      </c>
      <c r="E92" s="61" t="inlineStr">
        <is>
          <t>2 Usta Yard.</t>
        </is>
      </c>
      <c r="F92" s="93" t="inlineStr">
        <is>
          <t>yevmiye</t>
        </is>
      </c>
      <c r="G92" s="61" t="n">
        <v>2</v>
      </c>
      <c r="H92" s="183" t="n"/>
      <c r="I92" s="183">
        <f>+G92*H92</f>
        <v/>
      </c>
      <c r="J92" s="61" t="n"/>
      <c r="K92" s="61" t="n"/>
      <c r="L92" s="61" t="n"/>
      <c r="M92" s="61" t="n"/>
      <c r="N92" s="61" t="n"/>
      <c r="O92" s="61" t="n"/>
      <c r="P92" s="61" t="n"/>
    </row>
    <row r="93" ht="28.8" customFormat="1" customHeight="1" s="59">
      <c r="B93" s="91" t="n">
        <v>46069</v>
      </c>
      <c r="C93" s="94" t="n">
        <v>53</v>
      </c>
      <c r="D93" s="96" t="inlineStr">
        <is>
          <t>C3 ve C5 bloklarında bulunan çöp şutlarında, REC talebi doğrultusunda kutu profiller kullanılarak etrafı kapatılmıştır.</t>
        </is>
      </c>
      <c r="E93" s="94" t="inlineStr">
        <is>
          <t>2 Usta Yard.</t>
        </is>
      </c>
      <c r="F93" s="94" t="inlineStr">
        <is>
          <t>yevmiye</t>
        </is>
      </c>
      <c r="G93" s="61" t="n">
        <v>2</v>
      </c>
      <c r="H93" s="183" t="n"/>
      <c r="I93" s="183">
        <f>+G93*H93</f>
        <v/>
      </c>
      <c r="J93" s="61" t="inlineStr">
        <is>
          <t>40*40*2 mm Kutu Profil</t>
        </is>
      </c>
      <c r="K93" s="61" t="inlineStr">
        <is>
          <t>m</t>
        </is>
      </c>
      <c r="L93" s="61" t="n">
        <v>77.44</v>
      </c>
      <c r="M93" s="61" t="n"/>
      <c r="N93" s="61" t="n"/>
      <c r="O93" s="61" t="n"/>
      <c r="P93" s="61" t="n"/>
    </row>
    <row r="94" ht="28.8" customFormat="1" customHeight="1" s="59">
      <c r="B94" s="62" t="n">
        <v>46078</v>
      </c>
      <c r="C94" s="61" t="n">
        <v>54</v>
      </c>
      <c r="D94" s="78" t="inlineStr">
        <is>
          <t>C3 Blok 5.20 kotundagüvenlik ağının sökülmesi sırasında gazbeton duvarlarda lokal kırıklar ve yıkımlar oluşmuştur. Oluşan hasarlar tespit edilerek gerekli tamiratlar yapılmıştır.</t>
        </is>
      </c>
      <c r="E94" s="61" t="inlineStr">
        <is>
          <t>2 Usta</t>
        </is>
      </c>
      <c r="F94" s="61" t="inlineStr">
        <is>
          <t>yevmiye</t>
        </is>
      </c>
      <c r="G94" s="94" t="n">
        <v>2</v>
      </c>
      <c r="H94" s="190" t="n"/>
      <c r="I94" s="183">
        <f>+G94*H94</f>
        <v/>
      </c>
      <c r="J94" s="61" t="inlineStr">
        <is>
          <t>20 cm gazbeton</t>
        </is>
      </c>
      <c r="K94" s="61" t="inlineStr">
        <is>
          <t>m²</t>
        </is>
      </c>
      <c r="L94" s="61" t="n">
        <v>4.5</v>
      </c>
      <c r="M94" s="61" t="n"/>
      <c r="N94" s="61" t="n"/>
      <c r="O94" s="61" t="n"/>
      <c r="P94" s="61" t="n"/>
    </row>
    <row r="95" ht="30" customFormat="1" customHeight="1" s="59">
      <c r="B95" s="62" t="n">
        <v>46079</v>
      </c>
      <c r="C95" s="61" t="n">
        <v>55</v>
      </c>
      <c r="D95" s="78" t="inlineStr">
        <is>
          <t>C5 Blok 10.20 kotunda güvenlik ağının sökülmesi sırasında gazbeton duvarlarda lokal kırıklar ve yıkımlar oluşmuştur. Oluşan hasarlar tespit edilerek gerekli tamiratlar yapılmıştır.</t>
        </is>
      </c>
      <c r="E95" s="61" t="inlineStr">
        <is>
          <t>2 Usta</t>
        </is>
      </c>
      <c r="F95" s="61" t="inlineStr">
        <is>
          <t>yevmiye</t>
        </is>
      </c>
      <c r="G95" s="94" t="n">
        <v>3</v>
      </c>
      <c r="H95" s="190" t="n"/>
      <c r="I95" s="183">
        <f>+G95*H95</f>
        <v/>
      </c>
      <c r="J95" s="61" t="inlineStr">
        <is>
          <t>20 cm gazbeton</t>
        </is>
      </c>
      <c r="K95" s="61" t="inlineStr">
        <is>
          <t>m²</t>
        </is>
      </c>
      <c r="L95" s="61" t="n">
        <v>9</v>
      </c>
      <c r="M95" s="61" t="n"/>
      <c r="N95" s="61" t="n"/>
      <c r="O95" s="61" t="n"/>
      <c r="P95" s="61" t="n"/>
    </row>
    <row r="96" ht="30" customFormat="1" customHeight="1" s="59">
      <c r="B96" s="90" t="n">
        <v>46080</v>
      </c>
      <c r="C96" s="61" t="n">
        <v>56</v>
      </c>
      <c r="D96" s="100" t="inlineStr">
        <is>
          <t>C7 Blok -10.60 kotunda cephe gazbeton duvarında domino firması kalıp çalışmaları sırasında yıkımlar oluşmuştur. Oluşan hasarlar tespit edilerek gerekli tamiratlar yapılmıştır.</t>
        </is>
      </c>
      <c r="E96" s="61" t="inlineStr">
        <is>
          <t>2 Usta</t>
        </is>
      </c>
      <c r="F96" s="61" t="inlineStr">
        <is>
          <t>yevmiye</t>
        </is>
      </c>
      <c r="G96" s="94" t="n">
        <v>2</v>
      </c>
      <c r="H96" s="190" t="n"/>
      <c r="I96" s="183">
        <f>+G96*H96</f>
        <v/>
      </c>
      <c r="J96" s="61" t="inlineStr">
        <is>
          <t>20 cm gazbeton</t>
        </is>
      </c>
      <c r="K96" s="61" t="inlineStr">
        <is>
          <t>m²</t>
        </is>
      </c>
      <c r="L96" s="61" t="n">
        <v>9</v>
      </c>
      <c r="M96" s="61" t="n"/>
      <c r="N96" s="61" t="n"/>
      <c r="O96" s="61" t="n"/>
      <c r="P96" s="61" t="n"/>
    </row>
    <row r="97" ht="28.8" customFormat="1" customHeight="1" s="59">
      <c r="B97" s="90" t="n">
        <v>46091</v>
      </c>
      <c r="C97" s="61" t="n">
        <v>57</v>
      </c>
      <c r="D97" s="100" t="inlineStr">
        <is>
          <t>C3 Blok 0.20 kotunda yapılan çalışmalar ve malzeme sirkülasyonu nedeniyle alçıpan duvarlarda kırıklar ve mastarından çıkmalar tespit edilmiştir. Saten alçı imalatının devam edebilmesi için oluşan hasarlar belirlenerek gerekli tamiratlar yapılmıştır.</t>
        </is>
      </c>
      <c r="E97" s="61" t="inlineStr">
        <is>
          <t>2 Usta
2 Usta Yard.</t>
        </is>
      </c>
      <c r="F97" s="61" t="inlineStr">
        <is>
          <t>yevmiye</t>
        </is>
      </c>
      <c r="G97" s="94" t="n">
        <v>2</v>
      </c>
      <c r="H97" s="190" t="n"/>
      <c r="I97" s="183">
        <f>+G97*H97</f>
        <v/>
      </c>
      <c r="J97" s="61" t="inlineStr">
        <is>
          <t>FX Ultra Alçıpan</t>
        </is>
      </c>
      <c r="K97" s="61" t="inlineStr">
        <is>
          <t>m²</t>
        </is>
      </c>
      <c r="L97" s="61" t="n">
        <v>30</v>
      </c>
      <c r="M97" s="61" t="n"/>
      <c r="N97" s="61" t="n"/>
      <c r="O97" s="61" t="n"/>
      <c r="P97" s="61" t="n"/>
    </row>
    <row r="98" ht="28.8" customFormat="1" customHeight="1" s="59">
      <c r="B98" s="188" t="n"/>
      <c r="C98" s="185" t="n"/>
      <c r="D98" s="188" t="n"/>
      <c r="E98" s="185" t="n"/>
      <c r="F98" s="185" t="n"/>
      <c r="G98" s="94" t="n">
        <v>2</v>
      </c>
      <c r="H98" s="190" t="n"/>
      <c r="I98" s="183">
        <f>+G98*H98</f>
        <v/>
      </c>
      <c r="J98" s="61" t="n"/>
      <c r="K98" s="61" t="n"/>
      <c r="L98" s="61" t="n"/>
      <c r="M98" s="61" t="n"/>
      <c r="N98" s="61" t="n"/>
      <c r="O98" s="61" t="n"/>
      <c r="P98" s="61" t="n"/>
    </row>
    <row r="99" ht="28.8" customFormat="1" customHeight="1" s="59">
      <c r="B99" s="90" t="n">
        <v>46092</v>
      </c>
      <c r="C99" s="61" t="n">
        <v>58</v>
      </c>
      <c r="D99" s="100" t="inlineStr">
        <is>
          <t>C5 Blok 0.20 kotunda yapılan çalışmalar ve malzeme sirkülasyonu nedeniyle alçıpan duvarlarda kırıklar ve mastarından çıkmalar tespit edilmiştir. Saten alçı imalatının devam edebilmesi için oluşan hasarlar belirlenerek gerekli tamiratlar yapılmıştır.</t>
        </is>
      </c>
      <c r="E99" s="61" t="inlineStr">
        <is>
          <t>2 Usta
2 Usta Yard.</t>
        </is>
      </c>
      <c r="F99" s="61" t="inlineStr">
        <is>
          <t>yevmiye</t>
        </is>
      </c>
      <c r="G99" s="94" t="n">
        <v>2</v>
      </c>
      <c r="H99" s="190" t="n"/>
      <c r="I99" s="183">
        <f>+G99*H99</f>
        <v/>
      </c>
      <c r="J99" s="61" t="inlineStr">
        <is>
          <t>FX Ultra Alçıpan</t>
        </is>
      </c>
      <c r="K99" s="61" t="inlineStr">
        <is>
          <t>m²</t>
        </is>
      </c>
      <c r="L99" s="61" t="n">
        <v>25</v>
      </c>
      <c r="M99" s="61" t="n"/>
      <c r="N99" s="61" t="n"/>
      <c r="O99" s="61" t="n"/>
      <c r="P99" s="61" t="n"/>
    </row>
    <row r="100" ht="28.8" customFormat="1" customHeight="1" s="59">
      <c r="B100" s="188" t="n"/>
      <c r="C100" s="185" t="n"/>
      <c r="D100" s="188" t="n"/>
      <c r="E100" s="185" t="n"/>
      <c r="F100" s="185" t="n"/>
      <c r="G100" s="94" t="n">
        <v>2</v>
      </c>
      <c r="H100" s="190" t="n"/>
      <c r="I100" s="183">
        <f>+G100*H100</f>
        <v/>
      </c>
      <c r="J100" s="61" t="n"/>
      <c r="K100" s="61" t="n"/>
      <c r="L100" s="61" t="n"/>
      <c r="M100" s="61" t="n"/>
      <c r="N100" s="61" t="n"/>
      <c r="O100" s="61" t="n"/>
      <c r="P100" s="61" t="n"/>
    </row>
    <row r="101" ht="28.8" customFormat="1" customHeight="1" s="59">
      <c r="B101" s="90" t="n">
        <v>46093</v>
      </c>
      <c r="C101" s="61" t="n">
        <v>59</v>
      </c>
      <c r="D101" s="100" t="inlineStr">
        <is>
          <t>C3 Blok 5.20 kotunda yapılan çalışmalar ve malzeme sirkülasyonu nedeniyle alçıpan duvarlarda kırıklar ve mastarından çıkmalar tespit edilmiştir. Saten alçı imalatının devam edebilmesi için oluşan hasarlar belirlenerek gerekli tamiratlar yapılmıştır.</t>
        </is>
      </c>
      <c r="E101" s="61" t="inlineStr">
        <is>
          <t>2 Usta
2 Usta Yard.</t>
        </is>
      </c>
      <c r="F101" s="61" t="inlineStr">
        <is>
          <t>yevmiye</t>
        </is>
      </c>
      <c r="G101" s="94" t="n">
        <v>2</v>
      </c>
      <c r="H101" s="190" t="n"/>
      <c r="I101" s="183">
        <f>+G101*H101</f>
        <v/>
      </c>
      <c r="J101" s="61" t="inlineStr">
        <is>
          <t>FX Ultra Alçıpan</t>
        </is>
      </c>
      <c r="K101" s="61" t="inlineStr">
        <is>
          <t>m²</t>
        </is>
      </c>
      <c r="L101" s="61" t="n">
        <v>35</v>
      </c>
      <c r="M101" s="61" t="n"/>
      <c r="N101" s="61" t="n"/>
      <c r="O101" s="61" t="n"/>
      <c r="P101" s="61" t="n"/>
    </row>
    <row r="102" ht="28.8" customFormat="1" customHeight="1" s="59">
      <c r="B102" s="188" t="n"/>
      <c r="C102" s="185" t="n"/>
      <c r="D102" s="188" t="n"/>
      <c r="E102" s="185" t="n"/>
      <c r="F102" s="185" t="n"/>
      <c r="G102" s="94" t="n">
        <v>2</v>
      </c>
      <c r="H102" s="190" t="n"/>
      <c r="I102" s="183">
        <f>+G102*H102</f>
        <v/>
      </c>
      <c r="J102" s="61" t="n"/>
      <c r="K102" s="61" t="n"/>
      <c r="L102" s="61" t="n"/>
      <c r="M102" s="61" t="n"/>
      <c r="N102" s="61" t="n"/>
      <c r="O102" s="61" t="n"/>
      <c r="P102" s="61" t="n"/>
    </row>
    <row r="103" ht="28.8" customFormat="1" customHeight="1" s="59">
      <c r="B103" s="90" t="n">
        <v>46094</v>
      </c>
      <c r="C103" s="61" t="n">
        <v>60</v>
      </c>
      <c r="D103" s="100" t="inlineStr">
        <is>
          <t>C3 Blok 10.20 kotunda yapılan çalışmalar ve malzeme sirkülasyonu nedeniyle alçıpan duvarlarda kırıklar ve mastarından çıkmalar tespit edilmiştir. Saten alçı imalatının devam edebilmesi için oluşan hasarlar belirlenerek gerekli tamiratlar yapılmıştır.</t>
        </is>
      </c>
      <c r="E103" s="61" t="inlineStr">
        <is>
          <t>2 Usta
2 Usta Yard.</t>
        </is>
      </c>
      <c r="F103" s="61" t="inlineStr">
        <is>
          <t>yevmiye</t>
        </is>
      </c>
      <c r="G103" s="94" t="n">
        <v>2</v>
      </c>
      <c r="H103" s="190" t="n"/>
      <c r="I103" s="183">
        <f>+G103*H103</f>
        <v/>
      </c>
      <c r="J103" s="61" t="inlineStr">
        <is>
          <t>FX Ultra Alçıpan</t>
        </is>
      </c>
      <c r="K103" s="61" t="inlineStr">
        <is>
          <t>m²</t>
        </is>
      </c>
      <c r="L103" s="61" t="n">
        <v>25</v>
      </c>
      <c r="M103" s="61" t="n"/>
      <c r="N103" s="61" t="n"/>
      <c r="O103" s="61" t="n"/>
      <c r="P103" s="61" t="n"/>
    </row>
    <row r="104" ht="28.8" customFormat="1" customHeight="1" s="59">
      <c r="B104" s="188" t="n"/>
      <c r="C104" s="185" t="n"/>
      <c r="D104" s="188" t="n"/>
      <c r="E104" s="185" t="n"/>
      <c r="F104" s="185" t="n"/>
      <c r="G104" s="94" t="n">
        <v>2</v>
      </c>
      <c r="H104" s="190" t="n"/>
      <c r="I104" s="183">
        <f>+G104*H104</f>
        <v/>
      </c>
      <c r="J104" s="61" t="n"/>
      <c r="K104" s="61" t="n"/>
      <c r="L104" s="61" t="n"/>
      <c r="M104" s="61" t="n"/>
      <c r="N104" s="61" t="n"/>
      <c r="O104" s="61" t="n"/>
      <c r="P104" s="61" t="n"/>
    </row>
    <row r="105" ht="28.8" customFormat="1" customHeight="1" s="59">
      <c r="B105" s="90" t="n">
        <v>46094</v>
      </c>
      <c r="C105" s="61" t="n">
        <v>61</v>
      </c>
      <c r="D105" s="100" t="inlineStr">
        <is>
          <t>C5 Blok 5.20 kotunda bulunan elektrik odalarında, yağış nedeniyle şafttan gelen su sebebiyle sıva ve saten imalatı tamamlanmış mahallerde hasar oluşmuştur. Zarar gören duvarların tamiratı tarafımızca yapılmıştır.</t>
        </is>
      </c>
      <c r="E105" s="61" t="inlineStr">
        <is>
          <t>2 Usta</t>
        </is>
      </c>
      <c r="F105" s="61" t="inlineStr">
        <is>
          <t>yevmiye</t>
        </is>
      </c>
      <c r="G105" s="94" t="n">
        <v>2</v>
      </c>
      <c r="H105" s="190" t="n"/>
      <c r="I105" s="183">
        <f>+G105*H105</f>
        <v/>
      </c>
      <c r="J105" s="61" t="n"/>
      <c r="K105" s="61" t="n"/>
      <c r="L105" s="61" t="n"/>
      <c r="M105" s="61" t="n"/>
      <c r="N105" s="61" t="n"/>
      <c r="O105" s="61" t="n"/>
      <c r="P105" s="61" t="n"/>
    </row>
    <row r="106" ht="28.8" customFormat="1" customHeight="1" s="59">
      <c r="B106" s="90" t="n">
        <v>46094</v>
      </c>
      <c r="C106" s="61" t="n">
        <v>62</v>
      </c>
      <c r="D106" s="100" t="inlineStr">
        <is>
          <t>C7 Blok -4.80 kotunda üst katlardan gelen su nedeniyle alçıpan duvarda hasar oluşmuştur. Hasar gören alçıpan ve mineral yün sökülerek yeniden imalatı yapılmıştır.</t>
        </is>
      </c>
      <c r="E106" s="61" t="inlineStr">
        <is>
          <t>2 Usta</t>
        </is>
      </c>
      <c r="F106" s="61" t="inlineStr">
        <is>
          <t>yevmiye</t>
        </is>
      </c>
      <c r="G106" s="94" t="n">
        <v>2</v>
      </c>
      <c r="H106" s="190" t="n"/>
      <c r="I106" s="183">
        <f>+G106*H106</f>
        <v/>
      </c>
      <c r="J106" s="61" t="inlineStr">
        <is>
          <t>FX Ultra Alçıpan</t>
        </is>
      </c>
      <c r="K106" s="61" t="inlineStr">
        <is>
          <t>m²</t>
        </is>
      </c>
      <c r="L106" s="61" t="n">
        <v>52</v>
      </c>
      <c r="M106" s="61" t="n"/>
      <c r="N106" s="61" t="n"/>
      <c r="O106" s="61" t="n"/>
      <c r="P106" s="61" t="n"/>
    </row>
    <row r="107" ht="28.8" customFormat="1" customHeight="1" s="59">
      <c r="B107" s="188" t="n"/>
      <c r="C107" s="185" t="n"/>
      <c r="D107" s="188" t="n"/>
      <c r="E107" s="185" t="n"/>
      <c r="F107" s="185" t="n"/>
      <c r="G107" s="94" t="n"/>
      <c r="H107" s="190" t="n"/>
      <c r="I107" s="183" t="n"/>
      <c r="J107" s="61" t="inlineStr">
        <is>
          <t>4 cm Mineral Yün</t>
        </is>
      </c>
      <c r="K107" s="61" t="inlineStr">
        <is>
          <t>m²</t>
        </is>
      </c>
      <c r="L107" s="61" t="n">
        <v>26</v>
      </c>
      <c r="M107" s="61" t="n"/>
      <c r="N107" s="61" t="n"/>
      <c r="O107" s="61" t="n"/>
      <c r="P107" s="61" t="n"/>
    </row>
    <row r="108" ht="28.8" customFormat="1" customHeight="1" s="59">
      <c r="B108" s="90" t="n">
        <v>46094</v>
      </c>
      <c r="C108" s="61" t="n">
        <v>63</v>
      </c>
      <c r="D108" s="100" t="inlineStr">
        <is>
          <t>C6-7 Az 7 adet parapet kalıbı sökümü</t>
        </is>
      </c>
      <c r="E108" s="61" t="inlineStr">
        <is>
          <t>1 Usta</t>
        </is>
      </c>
      <c r="F108" s="61" t="inlineStr">
        <is>
          <t>yevmiye</t>
        </is>
      </c>
      <c r="G108" s="94" t="n">
        <v>1</v>
      </c>
      <c r="H108" s="190" t="n"/>
      <c r="I108" s="183">
        <f>+G108*H108</f>
        <v/>
      </c>
      <c r="J108" s="61" t="n"/>
      <c r="K108" s="61" t="n"/>
      <c r="L108" s="61" t="n"/>
      <c r="M108" s="61" t="n"/>
      <c r="N108" s="61" t="n"/>
      <c r="O108" s="61" t="n"/>
      <c r="P108" s="61" t="n"/>
    </row>
    <row r="109" ht="28.8" customFormat="1" customHeight="1" s="59">
      <c r="B109" s="90" t="n">
        <v>46094</v>
      </c>
      <c r="C109" s="61" t="n">
        <v>64</v>
      </c>
      <c r="D109" s="100" t="inlineStr">
        <is>
          <t>C5 blok 25.20 kotonda cephe gazbeton duvar imalatının iş izni bizde olmasına rağmen liva firması iskeleden inmediği için çalıştırılamadı.</t>
        </is>
      </c>
      <c r="E109" s="61" t="inlineStr">
        <is>
          <t>2 Usta
2 Usta Yard.</t>
        </is>
      </c>
      <c r="F109" s="61" t="inlineStr">
        <is>
          <t>yevmiye</t>
        </is>
      </c>
      <c r="G109" s="94" t="n">
        <v>1</v>
      </c>
      <c r="H109" s="190" t="n"/>
      <c r="I109" s="183">
        <f>+G109*H109</f>
        <v/>
      </c>
      <c r="J109" s="61" t="n"/>
      <c r="K109" s="61" t="n"/>
      <c r="L109" s="61" t="n"/>
      <c r="M109" s="61" t="n"/>
      <c r="N109" s="61" t="n"/>
      <c r="O109" s="61" t="n"/>
      <c r="P109" s="61" t="n"/>
    </row>
    <row r="110" ht="28.8" customFormat="1" customHeight="1" s="59">
      <c r="B110" s="188" t="n"/>
      <c r="C110" s="185" t="n"/>
      <c r="D110" s="188" t="n"/>
      <c r="E110" s="185" t="n"/>
      <c r="F110" s="185" t="n"/>
      <c r="G110" s="94" t="n">
        <v>1</v>
      </c>
      <c r="H110" s="190" t="n"/>
      <c r="I110" s="183">
        <f>+G110*H110</f>
        <v/>
      </c>
      <c r="J110" s="61" t="n"/>
      <c r="K110" s="61" t="n"/>
      <c r="L110" s="61" t="n"/>
      <c r="M110" s="61" t="n"/>
      <c r="N110" s="61" t="n"/>
      <c r="O110" s="61" t="n"/>
      <c r="P110" s="61" t="n"/>
    </row>
    <row r="111" ht="28.8" customFormat="1" customHeight="1" s="59">
      <c r="B111" s="90" t="n">
        <v>46094</v>
      </c>
      <c r="C111" s="61" t="n">
        <v>65</v>
      </c>
      <c r="D111" s="100" t="inlineStr">
        <is>
          <t>C4 blok 0.20 kotunda rec talebi ile kutu profillerden basamak yapıldı.</t>
        </is>
      </c>
      <c r="E111" s="61" t="inlineStr">
        <is>
          <t>2 Usta</t>
        </is>
      </c>
      <c r="F111" s="61" t="inlineStr">
        <is>
          <t>yevmiye</t>
        </is>
      </c>
      <c r="G111" s="94" t="n">
        <v>2</v>
      </c>
      <c r="H111" s="190" t="n"/>
      <c r="I111" s="183">
        <f>+G111*H111</f>
        <v/>
      </c>
      <c r="J111" s="61" t="inlineStr">
        <is>
          <t>40*40*2 mm Kutu Profil</t>
        </is>
      </c>
      <c r="K111" s="61" t="inlineStr">
        <is>
          <t>m</t>
        </is>
      </c>
      <c r="L111" s="61" t="n">
        <v>42</v>
      </c>
      <c r="M111" s="61" t="n"/>
      <c r="N111" s="61" t="n"/>
      <c r="O111" s="61" t="n"/>
      <c r="P111" s="61" t="n"/>
    </row>
    <row r="112" ht="28.8" customFormat="1" customHeight="1" s="59">
      <c r="B112" s="90" t="n">
        <v>46095</v>
      </c>
      <c r="C112" s="61" t="n">
        <v>66</v>
      </c>
      <c r="D112" s="100" t="inlineStr">
        <is>
          <t>C5 Blok cephesinde güvenlik ağı bulunmadığından, cephe duvar örümü sırasında gözcü görevlendirilmiştir.</t>
        </is>
      </c>
      <c r="E112" s="61" t="inlineStr">
        <is>
          <t>1 Usta</t>
        </is>
      </c>
      <c r="F112" s="61" t="inlineStr">
        <is>
          <t>yevmiye</t>
        </is>
      </c>
      <c r="G112" s="94" t="n">
        <v>1</v>
      </c>
      <c r="H112" s="190" t="n"/>
      <c r="I112" s="183">
        <f>+G112*H112</f>
        <v/>
      </c>
      <c r="J112" s="61" t="n"/>
      <c r="K112" s="61" t="n"/>
      <c r="L112" s="61" t="n"/>
      <c r="M112" s="61" t="n"/>
      <c r="N112" s="61" t="n"/>
      <c r="O112" s="61" t="n"/>
      <c r="P112" s="61" t="n"/>
    </row>
    <row r="113" ht="28.8" customFormat="1" customHeight="1" s="59">
      <c r="B113" s="90" t="n">
        <v>46095</v>
      </c>
      <c r="C113" s="61" t="n">
        <v>67</v>
      </c>
      <c r="D113" s="100" t="inlineStr">
        <is>
          <t>C5 Blok cephesinde güvenlik ağı bulunmadığından, cephe duvar örümü sırasında gözcü görevlendirilmiştir.</t>
        </is>
      </c>
      <c r="E113" s="61" t="inlineStr">
        <is>
          <t>1 Usta</t>
        </is>
      </c>
      <c r="F113" s="61" t="inlineStr">
        <is>
          <t>yevmiye</t>
        </is>
      </c>
      <c r="G113" s="94" t="n">
        <v>1</v>
      </c>
      <c r="H113" s="190" t="n"/>
      <c r="I113" s="183">
        <f>+G113*H113</f>
        <v/>
      </c>
      <c r="J113" s="61" t="n"/>
      <c r="K113" s="61" t="n"/>
      <c r="L113" s="61" t="n"/>
      <c r="M113" s="61" t="n"/>
      <c r="N113" s="61" t="n"/>
      <c r="O113" s="61" t="n"/>
      <c r="P113" s="61" t="n"/>
    </row>
    <row r="114" ht="28.8" customFormat="1" customHeight="1" s="59">
      <c r="B114" s="90" t="n">
        <v>46096</v>
      </c>
      <c r="C114" s="61" t="n">
        <v>68</v>
      </c>
      <c r="D114" s="100" t="inlineStr">
        <is>
          <t>C5 Blok cephesinde duvar örümü sırasında gözcü görevlendirilmiştir.</t>
        </is>
      </c>
      <c r="E114" s="61" t="inlineStr">
        <is>
          <t>MEHMET ARTOK (DÜZ İŞÇİ)</t>
        </is>
      </c>
      <c r="F114" s="61" t="inlineStr">
        <is>
          <t>yevmiye</t>
        </is>
      </c>
      <c r="G114" s="94" t="n">
        <v>1</v>
      </c>
      <c r="H114" s="190" t="n"/>
      <c r="I114" s="183">
        <f>+G114*H114</f>
        <v/>
      </c>
      <c r="J114" s="61" t="n"/>
      <c r="K114" s="61" t="n"/>
      <c r="L114" s="61" t="n"/>
      <c r="M114" s="61" t="n"/>
      <c r="N114" s="61" t="n"/>
      <c r="O114" s="61" t="n"/>
      <c r="P114" s="61" t="n"/>
    </row>
    <row r="115" ht="28.8" customHeight="1">
      <c r="B115" s="90" t="n">
        <v>46094</v>
      </c>
      <c r="C115" s="61" t="n">
        <v>69</v>
      </c>
      <c r="D115" s="100" t="inlineStr">
        <is>
          <t>C3 Blok cephesinde hatıl beton dökümü sırasında gözcü görevlendirilmiştir.</t>
        </is>
      </c>
      <c r="E115" s="61" t="inlineStr">
        <is>
          <t>EROL TUNA (DÜZ İŞÇİ)</t>
        </is>
      </c>
      <c r="F115" s="61" t="inlineStr">
        <is>
          <t>yevmiye</t>
        </is>
      </c>
      <c r="G115" s="94" t="n">
        <v>1</v>
      </c>
      <c r="H115" s="190" t="n"/>
      <c r="I115" s="183">
        <f>+G115*H115</f>
        <v/>
      </c>
      <c r="J115" s="61" t="n"/>
      <c r="K115" s="61" t="n"/>
      <c r="L115" s="61" t="n"/>
      <c r="M115" s="61" t="n"/>
      <c r="N115" s="61" t="n"/>
      <c r="O115" s="61" t="n"/>
      <c r="P115" s="61" t="n"/>
    </row>
    <row r="116" ht="28.8" customHeight="1">
      <c r="B116" s="90" t="n">
        <v>46093</v>
      </c>
      <c r="C116" s="61" t="n">
        <v>70</v>
      </c>
      <c r="D116" s="100" t="inlineStr">
        <is>
          <t>C3 Blok cephesindeduvar örümü sırasında gözcü görevlendirilmiştir.</t>
        </is>
      </c>
      <c r="E116" s="61" t="inlineStr">
        <is>
          <t>EROL TUNA (DÜZ İŞÇİ)</t>
        </is>
      </c>
      <c r="F116" s="61" t="inlineStr">
        <is>
          <t>yevmiye</t>
        </is>
      </c>
      <c r="G116" s="94" t="n">
        <v>1</v>
      </c>
      <c r="H116" s="190" t="n"/>
      <c r="I116" s="183">
        <f>+G116*H116</f>
        <v/>
      </c>
      <c r="J116" s="61" t="n"/>
      <c r="K116" s="61" t="n"/>
      <c r="L116" s="61" t="n"/>
      <c r="M116" s="61" t="n"/>
      <c r="N116" s="61" t="n"/>
      <c r="O116" s="61" t="n"/>
      <c r="P116" s="61" t="n"/>
    </row>
    <row r="117" ht="28.8" customHeight="1">
      <c r="B117" s="90" t="n">
        <v>46092</v>
      </c>
      <c r="C117" s="61" t="n">
        <v>71</v>
      </c>
      <c r="D117" s="100" t="inlineStr">
        <is>
          <t>C5 Blok cephesindeduvar örümü sırasında gözcü görevlendirilmiştir.</t>
        </is>
      </c>
      <c r="E117" s="61" t="inlineStr">
        <is>
          <t>MEHMET ARTOK (DÜZ İŞÇİ)</t>
        </is>
      </c>
      <c r="F117" s="61" t="inlineStr">
        <is>
          <t>yevmiye</t>
        </is>
      </c>
      <c r="G117" s="94" t="n">
        <v>1</v>
      </c>
      <c r="H117" s="190" t="n"/>
      <c r="I117" s="183">
        <f>+G117*H117</f>
        <v/>
      </c>
      <c r="J117" s="61" t="n"/>
      <c r="K117" s="61" t="n"/>
      <c r="L117" s="61" t="n"/>
      <c r="M117" s="61" t="n"/>
      <c r="N117" s="61" t="n"/>
      <c r="O117" s="61" t="n"/>
      <c r="P117" s="61" t="n"/>
    </row>
    <row r="118" ht="28.8" customHeight="1">
      <c r="B118" s="90" t="n">
        <v>46091</v>
      </c>
      <c r="C118" s="61" t="n">
        <v>72</v>
      </c>
      <c r="D118" s="100" t="inlineStr">
        <is>
          <t>C3 Blok cephesindeduvar örümü sırasında gözcü görevlendirilmiştir.</t>
        </is>
      </c>
      <c r="E118" s="61" t="inlineStr">
        <is>
          <t>EROL TUNA (DÜZ İŞÇİ)</t>
        </is>
      </c>
      <c r="F118" s="61" t="inlineStr">
        <is>
          <t>yevmiye</t>
        </is>
      </c>
      <c r="G118" s="94" t="n">
        <v>1</v>
      </c>
      <c r="H118" s="190" t="n"/>
      <c r="I118" s="183">
        <f>+G118*H118</f>
        <v/>
      </c>
      <c r="J118" s="61" t="n"/>
      <c r="K118" s="61" t="n"/>
      <c r="L118" s="61" t="n"/>
      <c r="M118" s="61" t="n"/>
      <c r="N118" s="61" t="n"/>
      <c r="O118" s="61" t="n"/>
      <c r="P118" s="61" t="n"/>
    </row>
    <row r="119" ht="28.8" customHeight="1">
      <c r="B119" s="90" t="n">
        <v>46090</v>
      </c>
      <c r="C119" s="61" t="n">
        <v>73</v>
      </c>
      <c r="D119" s="100" t="inlineStr">
        <is>
          <t>C3 Blok cephesindeduvar örümü sırasında gözcü görevlendirilmiştir.</t>
        </is>
      </c>
      <c r="E119" s="61" t="inlineStr">
        <is>
          <t>MEHMET ARTOK (DÜZ İŞÇİ)</t>
        </is>
      </c>
      <c r="F119" s="61" t="inlineStr">
        <is>
          <t>yevmiye</t>
        </is>
      </c>
      <c r="G119" s="94" t="n">
        <v>1</v>
      </c>
      <c r="H119" s="190" t="n"/>
      <c r="I119" s="183">
        <f>+G119*H119</f>
        <v/>
      </c>
      <c r="J119" s="61" t="n"/>
      <c r="K119" s="61" t="n"/>
      <c r="L119" s="61" t="n"/>
      <c r="M119" s="61" t="n"/>
      <c r="N119" s="61" t="n"/>
      <c r="O119" s="61" t="n"/>
      <c r="P119" s="61" t="n"/>
    </row>
    <row r="120" ht="28.8" customHeight="1">
      <c r="B120" s="90" t="n">
        <v>46097</v>
      </c>
      <c r="C120" s="61" t="n">
        <v>74</v>
      </c>
      <c r="D120" s="100" t="inlineStr">
        <is>
          <t>C5 Blok cephesinde hatıl imalatı sırasında gözcü görevlendirilmiştir.</t>
        </is>
      </c>
      <c r="E120" s="61" t="inlineStr">
        <is>
          <t>MEHMET ARTOK (DÜZ İŞÇİ)</t>
        </is>
      </c>
      <c r="F120" s="61" t="inlineStr">
        <is>
          <t>yevmiye</t>
        </is>
      </c>
      <c r="G120" s="94" t="n">
        <v>1</v>
      </c>
      <c r="H120" s="190" t="n"/>
      <c r="I120" s="183">
        <f>+G120*H120</f>
        <v/>
      </c>
      <c r="J120" s="61" t="n"/>
      <c r="K120" s="61" t="n"/>
      <c r="L120" s="61" t="n"/>
      <c r="M120" s="61" t="n"/>
      <c r="N120" s="61" t="n"/>
      <c r="O120" s="61" t="n"/>
      <c r="P120" s="61" t="n"/>
    </row>
    <row r="121" ht="28.8" customHeight="1">
      <c r="B121" s="90" t="n">
        <v>46098</v>
      </c>
      <c r="C121" s="61" t="n">
        <v>75</v>
      </c>
      <c r="D121" s="100" t="inlineStr">
        <is>
          <t>C5 Blok cephesinde hatıl imalatı sırasında gözcü görevlendirilmiştir.</t>
        </is>
      </c>
      <c r="E121" s="61" t="inlineStr">
        <is>
          <t>MEHMET ARTOK (DÜZ İŞÇİ)</t>
        </is>
      </c>
      <c r="F121" s="61" t="inlineStr">
        <is>
          <t>yevmiye</t>
        </is>
      </c>
      <c r="G121" s="94" t="n">
        <v>1</v>
      </c>
      <c r="H121" s="190" t="n"/>
      <c r="I121" s="183">
        <f>+G121*H121</f>
        <v/>
      </c>
      <c r="J121" s="61" t="n"/>
      <c r="K121" s="61" t="n"/>
      <c r="L121" s="61" t="n"/>
      <c r="M121" s="61" t="n"/>
      <c r="N121" s="61" t="n"/>
      <c r="O121" s="61" t="n"/>
      <c r="P121" s="61" t="n"/>
    </row>
    <row r="122" ht="28.8" customHeight="1">
      <c r="B122" s="90" t="n">
        <v>46099</v>
      </c>
      <c r="C122" s="61" t="n">
        <v>76</v>
      </c>
      <c r="D122" s="100" t="inlineStr">
        <is>
          <t>C5 Blok cephesinde hatıl imalatı sırasında gözcü görevlendirilmiştir.</t>
        </is>
      </c>
      <c r="E122" s="61" t="inlineStr">
        <is>
          <t>1 Usta</t>
        </is>
      </c>
      <c r="F122" s="61" t="inlineStr">
        <is>
          <t>yevmiye</t>
        </is>
      </c>
      <c r="G122" s="94" t="n">
        <v>1</v>
      </c>
      <c r="H122" s="190" t="n"/>
      <c r="I122" s="183">
        <f>+G122*H122</f>
        <v/>
      </c>
      <c r="J122" s="61" t="n"/>
      <c r="K122" s="61" t="n"/>
      <c r="L122" s="61" t="n"/>
      <c r="M122" s="61" t="n"/>
      <c r="N122" s="61" t="n"/>
      <c r="O122" s="61" t="n"/>
      <c r="P122" s="61" t="n"/>
    </row>
    <row r="123" ht="28.8" customHeight="1">
      <c r="B123" s="90" t="n">
        <v>46105</v>
      </c>
      <c r="C123" s="61" t="n">
        <v>77</v>
      </c>
      <c r="D123" s="100" t="inlineStr">
        <is>
          <t>C5 Blok cephesinde hatıl imalatı sırasında gözcü görevlendirilmiştir.</t>
        </is>
      </c>
      <c r="E123" s="61" t="inlineStr">
        <is>
          <t>1 Usta</t>
        </is>
      </c>
      <c r="F123" s="61" t="inlineStr">
        <is>
          <t>yevmiye</t>
        </is>
      </c>
      <c r="G123" s="94" t="n">
        <v>1</v>
      </c>
      <c r="H123" s="190" t="n"/>
      <c r="I123" s="183">
        <f>+G123*H123</f>
        <v/>
      </c>
      <c r="J123" s="61" t="n"/>
      <c r="K123" s="61" t="n"/>
      <c r="L123" s="61" t="n"/>
      <c r="M123" s="61" t="n"/>
      <c r="N123" s="61" t="n"/>
      <c r="O123" s="61" t="n"/>
      <c r="P123" s="61" t="n"/>
    </row>
    <row r="124" ht="28.8" customHeight="1">
      <c r="B124" s="90" t="n">
        <v>46106</v>
      </c>
      <c r="C124" s="61" t="n">
        <v>78</v>
      </c>
      <c r="D124" s="100" t="inlineStr">
        <is>
          <t>C5 Blok cephesinde gazbeton duvar imalatı sırasında gözcü görevlendirilmiştir.</t>
        </is>
      </c>
      <c r="E124" s="61" t="inlineStr">
        <is>
          <t>1 Usta</t>
        </is>
      </c>
      <c r="F124" s="61" t="inlineStr">
        <is>
          <t>yevmiye</t>
        </is>
      </c>
      <c r="G124" s="94" t="n">
        <v>1</v>
      </c>
      <c r="H124" s="190" t="n"/>
      <c r="I124" s="183">
        <f>+G124*H124</f>
        <v/>
      </c>
      <c r="J124" s="61" t="n"/>
      <c r="K124" s="61" t="n"/>
      <c r="L124" s="61" t="n"/>
      <c r="M124" s="61" t="n"/>
      <c r="N124" s="61" t="n"/>
      <c r="O124" s="61" t="n"/>
      <c r="P124" s="61" t="n"/>
    </row>
    <row r="125" ht="28.8" customHeight="1">
      <c r="B125" s="90" t="n">
        <v>46107</v>
      </c>
      <c r="C125" s="61" t="n">
        <v>79</v>
      </c>
      <c r="D125" s="100" t="inlineStr">
        <is>
          <t>C5 Blok 20.20 kotunda alçıpan duvar aplikasyonuna engel olan beton kırımları yapılmıştır.</t>
        </is>
      </c>
      <c r="E125" s="61" t="inlineStr">
        <is>
          <t>2 Usta</t>
        </is>
      </c>
      <c r="F125" s="61" t="inlineStr">
        <is>
          <t>yevmiye</t>
        </is>
      </c>
      <c r="G125" s="94" t="n">
        <v>2</v>
      </c>
      <c r="H125" s="190" t="n"/>
      <c r="I125" s="183">
        <f>+G125*H125</f>
        <v/>
      </c>
      <c r="J125" s="61" t="n"/>
      <c r="K125" s="61" t="n"/>
      <c r="L125" s="61" t="n"/>
      <c r="M125" s="61" t="n"/>
      <c r="N125" s="61" t="n"/>
      <c r="O125" s="61" t="n"/>
      <c r="P125" s="61" t="n"/>
    </row>
    <row r="126" ht="28.8" customHeight="1">
      <c r="B126" s="90" t="n">
        <v>46108</v>
      </c>
      <c r="C126" s="61" t="n">
        <v>80</v>
      </c>
      <c r="D126" s="100" t="inlineStr">
        <is>
          <t>C5 Blok cephesinde gazbeton duvar imalatı sırasında gözcü görevlendirilmiştir.</t>
        </is>
      </c>
      <c r="E126" s="61" t="inlineStr">
        <is>
          <t>1 Usta</t>
        </is>
      </c>
      <c r="F126" s="61" t="inlineStr">
        <is>
          <t>yevmiye</t>
        </is>
      </c>
      <c r="G126" s="94" t="n">
        <v>1</v>
      </c>
      <c r="H126" s="190" t="n"/>
      <c r="I126" s="183">
        <f>+G126*H126</f>
        <v/>
      </c>
      <c r="J126" s="61" t="n"/>
      <c r="K126" s="61" t="n"/>
      <c r="L126" s="61" t="n"/>
      <c r="M126" s="61" t="n"/>
      <c r="N126" s="61" t="n"/>
      <c r="O126" s="61" t="n"/>
      <c r="P126" s="61" t="n"/>
    </row>
    <row r="127" ht="28.8" customHeight="1">
      <c r="B127" s="90" t="n">
        <v>46108</v>
      </c>
      <c r="C127" s="61" t="n">
        <v>81</v>
      </c>
      <c r="D127" s="100" t="inlineStr">
        <is>
          <t>C5 Blok 20.20 kotunda kaba imalatlarından kalan moloz ve çöpler atılmıştır.</t>
        </is>
      </c>
      <c r="E127" s="61" t="inlineStr">
        <is>
          <t>4 Usta Yard.</t>
        </is>
      </c>
      <c r="F127" s="61" t="inlineStr">
        <is>
          <t>yevmiye</t>
        </is>
      </c>
      <c r="G127" s="94" t="n">
        <v>4</v>
      </c>
      <c r="H127" s="190" t="n"/>
      <c r="I127" s="183">
        <f>+G127*H127</f>
        <v/>
      </c>
      <c r="J127" s="61" t="n"/>
      <c r="K127" s="61" t="n"/>
      <c r="L127" s="61" t="n"/>
      <c r="M127" s="61" t="n"/>
      <c r="N127" s="61" t="n"/>
      <c r="O127" s="61" t="n"/>
      <c r="P127" s="61" t="n"/>
    </row>
    <row r="128" ht="28.8" customHeight="1">
      <c r="B128" s="90" t="n">
        <v>46109</v>
      </c>
      <c r="C128" s="61" t="n">
        <v>82</v>
      </c>
      <c r="D128" s="100" t="inlineStr">
        <is>
          <t>C7 Blok -10.60 kotunda, Domino firması tarafından 94 paket geofoam kullanılmıştır.</t>
        </is>
      </c>
      <c r="E128" s="61" t="n"/>
      <c r="F128" s="61" t="n"/>
      <c r="G128" s="94" t="n"/>
      <c r="H128" s="190" t="n"/>
      <c r="I128" s="183" t="n"/>
      <c r="J128" s="61" t="inlineStr">
        <is>
          <t>GEOFOAM (500*100*1000*7)</t>
        </is>
      </c>
      <c r="K128" s="61" t="inlineStr">
        <is>
          <t>paket</t>
        </is>
      </c>
      <c r="L128" s="61" t="n">
        <v>94</v>
      </c>
      <c r="M128" s="61" t="n"/>
      <c r="N128" s="61" t="n"/>
      <c r="O128" s="61" t="n"/>
      <c r="P128" s="61" t="n"/>
    </row>
    <row r="129" ht="28.8" customHeight="1">
      <c r="B129" s="90" t="n">
        <v>46109</v>
      </c>
      <c r="C129" s="61" t="n">
        <v>83</v>
      </c>
      <c r="D129" s="100" t="inlineStr">
        <is>
          <t>C5 Blok cephesinde gazbeton duvar imalatı sırasında gözcü görevlendirilmiştir.</t>
        </is>
      </c>
      <c r="E129" s="61" t="inlineStr">
        <is>
          <t>EJDER ALMALI (DÜZ İŞÇİ)</t>
        </is>
      </c>
      <c r="F129" s="61" t="inlineStr">
        <is>
          <t>yevmiye</t>
        </is>
      </c>
      <c r="G129" s="94" t="n">
        <v>1</v>
      </c>
      <c r="H129" s="190" t="n"/>
      <c r="I129" s="183">
        <f>+G129*H129</f>
        <v/>
      </c>
      <c r="J129" s="61" t="n"/>
      <c r="K129" s="61" t="n"/>
      <c r="L129" s="61" t="n"/>
      <c r="M129" s="61" t="n"/>
      <c r="N129" s="61" t="n"/>
      <c r="O129" s="61" t="n"/>
      <c r="P129" s="61" t="n"/>
    </row>
    <row r="130" ht="28.8" customHeight="1">
      <c r="B130" s="90" t="n">
        <v>46110</v>
      </c>
      <c r="C130" s="61" t="n">
        <v>84</v>
      </c>
      <c r="D130" s="100" t="inlineStr">
        <is>
          <t>C5 Blok cephesinde gazbeton duvar imalatı sırasında gözcü görevlendirilmiştir.</t>
        </is>
      </c>
      <c r="E130" s="61" t="inlineStr">
        <is>
          <t>MEHMET ARTOK (DÜZ İŞÇİ)</t>
        </is>
      </c>
      <c r="F130" s="61" t="inlineStr">
        <is>
          <t>yevmiye</t>
        </is>
      </c>
      <c r="G130" s="94" t="n">
        <v>1</v>
      </c>
      <c r="H130" s="190" t="n"/>
      <c r="I130" s="183">
        <f>+G130*H130</f>
        <v/>
      </c>
      <c r="J130" s="61" t="n"/>
      <c r="K130" s="61" t="n"/>
      <c r="L130" s="61" t="n"/>
      <c r="M130" s="61" t="n"/>
      <c r="N130" s="61" t="n"/>
      <c r="O130" s="61" t="n"/>
      <c r="P130" s="61" t="n"/>
    </row>
    <row r="131" ht="28.8" customHeight="1">
      <c r="B131" s="90" t="n">
        <v>46110</v>
      </c>
      <c r="C131" s="61" t="n">
        <v>85</v>
      </c>
      <c r="D131" s="100" t="inlineStr">
        <is>
          <t>C5 Blok 20.20 kotunda alçıpan duvar aplikasyonuna engel olan beton kırımları yapılmıştır.</t>
        </is>
      </c>
      <c r="E131" s="61" t="inlineStr">
        <is>
          <t>2 Usta</t>
        </is>
      </c>
      <c r="F131" s="61" t="inlineStr">
        <is>
          <t>yevmiye</t>
        </is>
      </c>
      <c r="G131" s="94" t="n">
        <v>2</v>
      </c>
      <c r="H131" s="190" t="n"/>
      <c r="I131" s="183">
        <f>+G131*H131</f>
        <v/>
      </c>
      <c r="J131" s="61" t="n"/>
      <c r="K131" s="61" t="n"/>
      <c r="L131" s="61" t="n"/>
      <c r="M131" s="61" t="n"/>
      <c r="N131" s="61" t="n"/>
      <c r="O131" s="61" t="n"/>
      <c r="P131" s="61" t="n"/>
    </row>
    <row r="132" ht="28.8" customHeight="1">
      <c r="B132" s="90" t="n">
        <v>46110</v>
      </c>
      <c r="C132" s="61" t="n">
        <v>86</v>
      </c>
      <c r="D132" s="100" t="inlineStr">
        <is>
          <t>C5 Blok 15.20 kotunda alçıpan duvar aplikasyonuna engel olan beton kırımları yapılmıştır.</t>
        </is>
      </c>
      <c r="E132" s="61" t="inlineStr">
        <is>
          <t>2 Usta</t>
        </is>
      </c>
      <c r="F132" s="61" t="inlineStr">
        <is>
          <t>yevmiye</t>
        </is>
      </c>
      <c r="G132" s="94" t="n">
        <v>2</v>
      </c>
      <c r="H132" s="190" t="n"/>
      <c r="I132" s="183">
        <f>+G132*H132</f>
        <v/>
      </c>
      <c r="J132" s="61" t="n"/>
      <c r="K132" s="61" t="n"/>
      <c r="L132" s="61" t="n"/>
      <c r="M132" s="61" t="n"/>
      <c r="N132" s="61" t="n"/>
      <c r="O132" s="61" t="n"/>
      <c r="P132" s="61" t="n"/>
    </row>
    <row r="133" ht="28.8" customHeight="1">
      <c r="B133" s="90" t="n">
        <v>46111</v>
      </c>
      <c r="C133" s="61" t="n">
        <v>87</v>
      </c>
      <c r="D133" s="100" t="inlineStr">
        <is>
          <t>C5 Blok cephesinde hatıl imalatı sırasında gözcü görevlendirilmiştir.</t>
        </is>
      </c>
      <c r="E133" s="61" t="inlineStr">
        <is>
          <t>1 Usta</t>
        </is>
      </c>
      <c r="F133" s="61" t="inlineStr">
        <is>
          <t>yevmiye</t>
        </is>
      </c>
      <c r="G133" s="94" t="n">
        <v>1</v>
      </c>
      <c r="H133" s="190" t="n"/>
      <c r="I133" s="183">
        <f>+G133*H133</f>
        <v/>
      </c>
      <c r="J133" s="61" t="n"/>
      <c r="K133" s="61" t="n"/>
      <c r="L133" s="61" t="n"/>
      <c r="M133" s="61" t="n"/>
      <c r="N133" s="61" t="n"/>
      <c r="O133" s="61" t="n"/>
      <c r="P133" s="61" t="n"/>
    </row>
    <row r="134" ht="28.8" customHeight="1">
      <c r="B134" s="90" t="n">
        <v>46111</v>
      </c>
      <c r="C134" s="61" t="n">
        <v>88</v>
      </c>
      <c r="D134" s="100" t="inlineStr">
        <is>
          <t>C5 Blok cephesinde gazbeton duvar imalatı sırasında gözcü görevlendirilmiştir.</t>
        </is>
      </c>
      <c r="E134" s="61" t="inlineStr">
        <is>
          <t>1 Usta Yard.</t>
        </is>
      </c>
      <c r="F134" s="61" t="inlineStr">
        <is>
          <t>yevmiye</t>
        </is>
      </c>
      <c r="G134" s="94" t="n">
        <v>1</v>
      </c>
      <c r="H134" s="190" t="n"/>
      <c r="I134" s="183">
        <f>+G134*H134</f>
        <v/>
      </c>
      <c r="J134" s="61" t="n"/>
      <c r="K134" s="61" t="n"/>
      <c r="L134" s="61" t="n"/>
      <c r="M134" s="61" t="n"/>
      <c r="N134" s="61" t="n"/>
      <c r="O134" s="61" t="n"/>
      <c r="P134" s="61" t="n"/>
    </row>
    <row r="135" ht="28.8" customHeight="1">
      <c r="B135" s="90" t="n">
        <v>46111</v>
      </c>
      <c r="C135" s="61" t="n">
        <v>89</v>
      </c>
      <c r="D135" s="100" t="inlineStr">
        <is>
          <t>C5 Blok cephesinde hatıl imalatı sırasında gözcü görevlendirilmiştir.</t>
        </is>
      </c>
      <c r="E135" s="61" t="inlineStr">
        <is>
          <t>1 Usta</t>
        </is>
      </c>
      <c r="F135" s="61" t="inlineStr">
        <is>
          <t>yevmiye</t>
        </is>
      </c>
      <c r="G135" s="94" t="n">
        <v>1</v>
      </c>
      <c r="H135" s="190" t="n"/>
      <c r="I135" s="183">
        <f>+G135*H135</f>
        <v/>
      </c>
      <c r="J135" s="61" t="n"/>
      <c r="K135" s="61" t="n"/>
      <c r="L135" s="61" t="n"/>
      <c r="M135" s="61" t="n"/>
      <c r="N135" s="61" t="n"/>
      <c r="O135" s="61" t="n"/>
      <c r="P135" s="61" t="n"/>
    </row>
    <row r="136" ht="28.8" customHeight="1">
      <c r="B136" s="90" t="n">
        <v>46112</v>
      </c>
      <c r="C136" s="61" t="n">
        <v>90</v>
      </c>
      <c r="D136" s="100" t="inlineStr">
        <is>
          <t>C5 Blok cephesinde hatıl imalatı sırasında gözcü görevlendirilmiştir.</t>
        </is>
      </c>
      <c r="E136" s="61" t="inlineStr">
        <is>
          <t>1 Usta</t>
        </is>
      </c>
      <c r="F136" s="61" t="inlineStr">
        <is>
          <t>yevmiye</t>
        </is>
      </c>
      <c r="G136" s="94" t="n">
        <v>1</v>
      </c>
      <c r="H136" s="190" t="n"/>
      <c r="I136" s="183">
        <f>+G136*H136</f>
        <v/>
      </c>
      <c r="J136" s="61" t="n"/>
      <c r="K136" s="61" t="n"/>
      <c r="L136" s="61" t="n"/>
      <c r="M136" s="61" t="n"/>
      <c r="N136" s="61" t="n"/>
      <c r="O136" s="61" t="n"/>
      <c r="P136" s="61" t="n"/>
    </row>
    <row r="137" ht="28.8" customHeight="1">
      <c r="B137" s="90" t="n">
        <v>46112</v>
      </c>
      <c r="C137" s="61" t="n">
        <v>91</v>
      </c>
      <c r="D137" s="100" t="inlineStr">
        <is>
          <t>C5 Blok cephesinde gazbeton duvar ve hatıl imalatlarına ilişkin iş izni tarafımızda bulunmasına rağmen, eş zamanlı farklı çalışmalar yürütüldüğünden dolayı cephe çalışmalarımız durdurulmuştur.</t>
        </is>
      </c>
      <c r="E137" s="61" t="inlineStr">
        <is>
          <t>7 Usta</t>
        </is>
      </c>
      <c r="F137" s="61" t="inlineStr">
        <is>
          <t>yevmiye</t>
        </is>
      </c>
      <c r="G137" s="94" t="n">
        <v>7</v>
      </c>
      <c r="H137" s="190" t="n"/>
      <c r="I137" s="183">
        <f>+G137*H137</f>
        <v/>
      </c>
      <c r="J137" s="61" t="n"/>
      <c r="K137" s="61" t="n"/>
      <c r="L137" s="61" t="n"/>
      <c r="M137" s="61" t="n"/>
      <c r="N137" s="61" t="n"/>
      <c r="O137" s="61" t="n"/>
      <c r="P137" s="61" t="n"/>
    </row>
    <row r="138" ht="28.8" customHeight="1">
      <c r="B138" s="90" t="n">
        <v>46110</v>
      </c>
      <c r="C138" s="61" t="n">
        <v>92</v>
      </c>
      <c r="D138" s="100" t="inlineStr">
        <is>
          <t>C3 Blok MC03 merdiveninde, alçı sıva imalatı öncesinde tüm katlar boyunca gerekli beton kırımları yapılmıştır.</t>
        </is>
      </c>
      <c r="E138" s="61" t="inlineStr">
        <is>
          <t>12 Usta</t>
        </is>
      </c>
      <c r="F138" s="61" t="inlineStr">
        <is>
          <t>yevmiye</t>
        </is>
      </c>
      <c r="G138" s="94" t="n">
        <v>6</v>
      </c>
      <c r="H138" s="190" t="n"/>
      <c r="I138" s="183">
        <f>+G138*H138</f>
        <v/>
      </c>
      <c r="J138" s="61" t="n"/>
      <c r="K138" s="61" t="n"/>
      <c r="L138" s="61" t="n"/>
      <c r="M138" s="61" t="n"/>
      <c r="N138" s="61" t="n"/>
      <c r="O138" s="61" t="n"/>
      <c r="P138" s="61" t="n"/>
    </row>
    <row r="139" ht="28.8" customHeight="1">
      <c r="B139" s="90" t="n">
        <v>46113</v>
      </c>
      <c r="C139" s="61" t="n">
        <v>93</v>
      </c>
      <c r="D139" s="100" t="inlineStr">
        <is>
          <t>C5 Blok cephesinde hatıl imalatı sırasında gözcü görevlendirilmiştir.</t>
        </is>
      </c>
      <c r="E139" s="61" t="inlineStr">
        <is>
          <t>1 Usta Yard.</t>
        </is>
      </c>
      <c r="F139" s="61" t="inlineStr">
        <is>
          <t>yevmiye</t>
        </is>
      </c>
      <c r="G139" s="94" t="n">
        <v>1</v>
      </c>
      <c r="H139" s="190" t="n"/>
      <c r="I139" s="183">
        <f>+G139*H139</f>
        <v/>
      </c>
      <c r="J139" s="61" t="n"/>
      <c r="K139" s="61" t="n"/>
      <c r="L139" s="61" t="n"/>
      <c r="M139" s="61" t="n"/>
      <c r="N139" s="61" t="n"/>
      <c r="O139" s="61" t="n"/>
      <c r="P139" s="61" t="n"/>
    </row>
    <row r="140" ht="28.8" customHeight="1">
      <c r="B140" s="90" t="n">
        <v>46125</v>
      </c>
      <c r="C140" s="61" t="n">
        <v>94</v>
      </c>
      <c r="D140" s="100" t="inlineStr">
        <is>
          <t>C3 Blok 0.20 kotu genelinde zaran gören alçıpan imalatlarının tamiratları tarafımızca yapılmıştır.</t>
        </is>
      </c>
      <c r="E140" s="61" t="inlineStr">
        <is>
          <t>1 Usta
1 Usta Yard.</t>
        </is>
      </c>
      <c r="F140" s="61" t="inlineStr">
        <is>
          <t>yevmiye</t>
        </is>
      </c>
      <c r="G140" s="94" t="n">
        <v>1</v>
      </c>
      <c r="H140" s="190" t="n"/>
      <c r="I140" s="183">
        <f>+G140*H140</f>
        <v/>
      </c>
      <c r="J140" s="61" t="n"/>
      <c r="K140" s="61" t="n"/>
      <c r="L140" s="61" t="n"/>
      <c r="M140" s="61" t="n"/>
      <c r="N140" s="61" t="n"/>
      <c r="O140" s="61" t="n"/>
      <c r="P140" s="61" t="n"/>
    </row>
    <row r="141" ht="28.8" customHeight="1">
      <c r="B141" s="188" t="n"/>
      <c r="C141" s="185" t="n"/>
      <c r="D141" s="188" t="n"/>
      <c r="E141" s="185" t="n"/>
      <c r="F141" s="185" t="n"/>
      <c r="G141" s="94" t="n">
        <v>1</v>
      </c>
      <c r="H141" s="190" t="n"/>
      <c r="I141" s="183">
        <f>+G141*H141</f>
        <v/>
      </c>
      <c r="J141" s="61" t="n"/>
      <c r="K141" s="61" t="n"/>
      <c r="L141" s="61" t="n"/>
      <c r="M141" s="61" t="n"/>
      <c r="N141" s="61" t="n"/>
      <c r="O141" s="61" t="n"/>
      <c r="P141" s="61" t="n"/>
    </row>
    <row r="142" ht="28.8" customHeight="1">
      <c r="B142" s="90" t="n">
        <v>46126</v>
      </c>
      <c r="C142" s="61" t="n">
        <v>95</v>
      </c>
      <c r="D142" s="100" t="inlineStr">
        <is>
          <t>C3 Blok 0.20 kotu genelinde zaran gören alçıpan imalatlarının tamiratları tarafımızca yapılmıştır.</t>
        </is>
      </c>
      <c r="E142" s="61" t="inlineStr">
        <is>
          <t>2 Usta
1 Usta Yard.</t>
        </is>
      </c>
      <c r="F142" s="61" t="inlineStr">
        <is>
          <t>yevmiye</t>
        </is>
      </c>
      <c r="G142" s="94" t="n">
        <v>2</v>
      </c>
      <c r="H142" s="190" t="n"/>
      <c r="I142" s="183">
        <f>+G142*H142</f>
        <v/>
      </c>
      <c r="J142" s="61" t="n"/>
      <c r="K142" s="61" t="n"/>
      <c r="L142" s="61" t="n"/>
      <c r="M142" s="61" t="n"/>
      <c r="N142" s="61" t="n"/>
      <c r="O142" s="61" t="n"/>
      <c r="P142" s="61" t="n"/>
    </row>
    <row r="143" ht="28.8" customHeight="1">
      <c r="B143" s="188" t="n"/>
      <c r="C143" s="185" t="n"/>
      <c r="D143" s="188" t="n"/>
      <c r="E143" s="185" t="n"/>
      <c r="F143" s="185" t="n"/>
      <c r="G143" s="94" t="n">
        <v>1</v>
      </c>
      <c r="H143" s="190" t="n"/>
      <c r="I143" s="183">
        <f>+G143*H143</f>
        <v/>
      </c>
      <c r="J143" s="61" t="n"/>
      <c r="K143" s="61" t="n"/>
      <c r="L143" s="61" t="n"/>
      <c r="M143" s="61" t="n"/>
      <c r="N143" s="61" t="n"/>
      <c r="O143" s="61" t="n"/>
      <c r="P143" s="61" t="n"/>
    </row>
    <row r="144" ht="28.8" customHeight="1">
      <c r="B144" s="90" t="n">
        <v>46127</v>
      </c>
      <c r="C144" s="61" t="n">
        <v>96</v>
      </c>
      <c r="D144" s="100" t="inlineStr">
        <is>
          <t>C3 Blok 0.20 kotu genelinde zaran gören alçıpan imalatlarının tamiratları tarafımızca yapılmıştır.</t>
        </is>
      </c>
      <c r="E144" s="61" t="inlineStr">
        <is>
          <t>2 Usta
1 Usta Yard.</t>
        </is>
      </c>
      <c r="F144" s="61" t="inlineStr">
        <is>
          <t>yevmiye</t>
        </is>
      </c>
      <c r="G144" s="94" t="n">
        <v>2</v>
      </c>
      <c r="H144" s="190" t="n"/>
      <c r="I144" s="183">
        <f>+G144*H144</f>
        <v/>
      </c>
      <c r="J144" s="61" t="n"/>
      <c r="K144" s="61" t="n"/>
      <c r="L144" s="61" t="n"/>
      <c r="M144" s="61" t="n"/>
      <c r="N144" s="61" t="n"/>
      <c r="O144" s="61" t="n"/>
      <c r="P144" s="61" t="n"/>
    </row>
    <row r="145" ht="28.8" customHeight="1">
      <c r="B145" s="188" t="n"/>
      <c r="C145" s="185" t="n"/>
      <c r="D145" s="188" t="n"/>
      <c r="E145" s="185" t="n"/>
      <c r="F145" s="185" t="n"/>
      <c r="G145" s="94" t="n">
        <v>1</v>
      </c>
      <c r="H145" s="190" t="n"/>
      <c r="I145" s="183">
        <f>+G145*H145</f>
        <v/>
      </c>
      <c r="J145" s="61" t="n"/>
      <c r="K145" s="61" t="n"/>
      <c r="L145" s="61" t="n"/>
      <c r="M145" s="61" t="n"/>
      <c r="N145" s="61" t="n"/>
      <c r="O145" s="61" t="n"/>
      <c r="P145" s="61" t="n"/>
    </row>
    <row r="146" ht="28.8" customHeight="1">
      <c r="B146" s="90" t="n">
        <v>46128</v>
      </c>
      <c r="C146" s="61" t="n">
        <v>97</v>
      </c>
      <c r="D146" s="100" t="inlineStr">
        <is>
          <t>C3 Blok 0.20 kotu genelinde zaran gören alçıpan imalatlarının tamiratları tarafımızca yapılmıştır.</t>
        </is>
      </c>
      <c r="E146" s="61" t="inlineStr">
        <is>
          <t>2 Usta
1 Usta Yard.</t>
        </is>
      </c>
      <c r="F146" s="61" t="inlineStr">
        <is>
          <t>yevmiye</t>
        </is>
      </c>
      <c r="G146" s="94" t="n">
        <v>2</v>
      </c>
      <c r="H146" s="190" t="n"/>
      <c r="I146" s="183">
        <f>+G146*H146</f>
        <v/>
      </c>
      <c r="J146" s="61" t="inlineStr">
        <is>
          <t>FX Ultra Alçıpan</t>
        </is>
      </c>
      <c r="K146" s="61" t="inlineStr">
        <is>
          <t>m²</t>
        </is>
      </c>
      <c r="L146" s="61" t="n">
        <v>15</v>
      </c>
      <c r="M146" s="61" t="n"/>
      <c r="N146" s="61" t="n"/>
      <c r="O146" s="61" t="n"/>
      <c r="P146" s="61" t="n"/>
    </row>
    <row r="147" ht="28.8" customHeight="1">
      <c r="B147" s="188" t="n"/>
      <c r="C147" s="185" t="n"/>
      <c r="D147" s="188" t="n"/>
      <c r="E147" s="185" t="n"/>
      <c r="F147" s="185" t="n"/>
      <c r="G147" s="94" t="n">
        <v>1</v>
      </c>
      <c r="H147" s="190" t="n"/>
      <c r="I147" s="183">
        <f>+G147*H147</f>
        <v/>
      </c>
      <c r="J147" s="61" t="n"/>
      <c r="K147" s="61" t="n"/>
      <c r="L147" s="61" t="n"/>
      <c r="M147" s="61" t="n"/>
      <c r="N147" s="61" t="n"/>
      <c r="O147" s="61" t="n"/>
      <c r="P147" s="61" t="n"/>
    </row>
    <row r="148" ht="28.8" customHeight="1">
      <c r="B148" s="90" t="n">
        <v>46129</v>
      </c>
      <c r="C148" s="61" t="n">
        <v>98</v>
      </c>
      <c r="D148" s="100" t="inlineStr">
        <is>
          <t>C3 Blok 0.20 kotu genelinde zaran gören alçıpan imalatlarının tamiratları tarafımızca yapılmıştır.</t>
        </is>
      </c>
      <c r="E148" s="61" t="inlineStr">
        <is>
          <t>2 Usta
1 Usta Yard.</t>
        </is>
      </c>
      <c r="F148" s="61" t="inlineStr">
        <is>
          <t>yevmiye</t>
        </is>
      </c>
      <c r="G148" s="94" t="n">
        <v>2</v>
      </c>
      <c r="H148" s="190" t="n"/>
      <c r="I148" s="183">
        <f>+G148*H148</f>
        <v/>
      </c>
      <c r="J148" s="61" t="inlineStr">
        <is>
          <t>FX Ultra Alçıpan</t>
        </is>
      </c>
      <c r="K148" s="61" t="inlineStr">
        <is>
          <t>m²</t>
        </is>
      </c>
      <c r="L148" s="61" t="n">
        <v>15</v>
      </c>
      <c r="M148" s="61" t="n"/>
      <c r="N148" s="61" t="n"/>
      <c r="O148" s="61" t="n"/>
      <c r="P148" s="61" t="n"/>
    </row>
    <row r="149" ht="28.8" customHeight="1">
      <c r="B149" s="188" t="n"/>
      <c r="C149" s="185" t="n"/>
      <c r="D149" s="188" t="n"/>
      <c r="E149" s="185" t="n"/>
      <c r="F149" s="185" t="n"/>
      <c r="G149" s="94" t="n">
        <v>1</v>
      </c>
      <c r="H149" s="190" t="n"/>
      <c r="I149" s="183">
        <f>+G149*H149</f>
        <v/>
      </c>
      <c r="J149" s="61" t="n"/>
      <c r="K149" s="61" t="n"/>
      <c r="L149" s="61" t="n"/>
      <c r="M149" s="61" t="n"/>
      <c r="N149" s="61" t="n"/>
      <c r="O149" s="61" t="n"/>
      <c r="P149" s="61" t="n"/>
    </row>
    <row r="150" ht="28.8" customHeight="1">
      <c r="B150" s="90" t="n">
        <v>46130</v>
      </c>
      <c r="C150" s="61" t="n">
        <v>99</v>
      </c>
      <c r="D150" s="100" t="inlineStr">
        <is>
          <t>C3 Blok 0.20 kotu genelinde zaran gören alçıpan imalatlarının tamiratları tarafımızca yapılmıştır.</t>
        </is>
      </c>
      <c r="E150" s="61" t="inlineStr">
        <is>
          <t>2 Usta
1 Usta Yard.</t>
        </is>
      </c>
      <c r="F150" s="61" t="inlineStr">
        <is>
          <t>yevmiye</t>
        </is>
      </c>
      <c r="G150" s="94" t="n">
        <v>2</v>
      </c>
      <c r="H150" s="190" t="n"/>
      <c r="I150" s="183">
        <f>+G150*H150</f>
        <v/>
      </c>
      <c r="J150" s="61" t="inlineStr">
        <is>
          <t>FX Ultra Alçıpan</t>
        </is>
      </c>
      <c r="K150" s="61" t="inlineStr">
        <is>
          <t>m²</t>
        </is>
      </c>
      <c r="L150" s="61" t="n">
        <v>15</v>
      </c>
      <c r="M150" s="61" t="n"/>
      <c r="N150" s="61" t="n"/>
      <c r="O150" s="61" t="n"/>
      <c r="P150" s="61" t="n"/>
    </row>
    <row r="151" ht="28.8" customHeight="1">
      <c r="B151" s="188" t="n"/>
      <c r="C151" s="185" t="n"/>
      <c r="D151" s="188" t="n"/>
      <c r="E151" s="185" t="n"/>
      <c r="F151" s="185" t="n"/>
      <c r="G151" s="94" t="n">
        <v>1</v>
      </c>
      <c r="H151" s="190" t="n"/>
      <c r="I151" s="183">
        <f>+G151*H151</f>
        <v/>
      </c>
      <c r="J151" s="61" t="n"/>
      <c r="K151" s="61" t="n"/>
      <c r="L151" s="61" t="n"/>
      <c r="M151" s="61" t="n"/>
      <c r="N151" s="61" t="n"/>
      <c r="O151" s="61" t="n"/>
      <c r="P151" s="61" t="n"/>
    </row>
    <row r="152" ht="28.8" customHeight="1">
      <c r="B152" s="90" t="n">
        <v>46131</v>
      </c>
      <c r="C152" s="61" t="n">
        <v>100</v>
      </c>
      <c r="D152" s="100" t="inlineStr">
        <is>
          <t>C3 Blok 0.20 kotu genelinde zaran gören alçıpan imalatlarının tamiratları tarafımızca yapılmıştır.</t>
        </is>
      </c>
      <c r="E152" s="61" t="inlineStr">
        <is>
          <t>2 Usta
1 Usta Yard.</t>
        </is>
      </c>
      <c r="F152" s="61" t="inlineStr">
        <is>
          <t>yevmiye</t>
        </is>
      </c>
      <c r="G152" s="94" t="n">
        <v>2</v>
      </c>
      <c r="H152" s="190" t="n"/>
      <c r="I152" s="183">
        <f>+G152*H152</f>
        <v/>
      </c>
      <c r="J152" s="61" t="inlineStr">
        <is>
          <t>FX Ultra Alçıpan</t>
        </is>
      </c>
      <c r="K152" s="61" t="inlineStr">
        <is>
          <t>m²</t>
        </is>
      </c>
      <c r="L152" s="61" t="n">
        <v>15</v>
      </c>
      <c r="M152" s="61" t="n"/>
      <c r="N152" s="61" t="n"/>
      <c r="O152" s="61" t="n"/>
      <c r="P152" s="61" t="n"/>
    </row>
    <row r="153" ht="28.8" customHeight="1">
      <c r="B153" s="188" t="n"/>
      <c r="C153" s="185" t="n"/>
      <c r="D153" s="188" t="n"/>
      <c r="E153" s="185" t="n"/>
      <c r="F153" s="185" t="n"/>
      <c r="G153" s="94" t="n">
        <v>1</v>
      </c>
      <c r="H153" s="190" t="n"/>
      <c r="I153" s="183">
        <f>+G153*H153</f>
        <v/>
      </c>
      <c r="J153" s="61" t="n"/>
      <c r="K153" s="61" t="n"/>
      <c r="L153" s="61" t="n"/>
      <c r="M153" s="61" t="n"/>
      <c r="N153" s="61" t="n"/>
      <c r="O153" s="61" t="n"/>
      <c r="P153" s="61" t="n"/>
    </row>
    <row r="154" ht="28.8" customHeight="1">
      <c r="B154" s="90" t="n">
        <v>46132</v>
      </c>
      <c r="C154" s="61" t="n">
        <v>101</v>
      </c>
      <c r="D154" s="100" t="inlineStr">
        <is>
          <t>C3 Blok 0.20 kotu genelinde zaran gören alçıpan imalatlarının tamiratları tarafımızca yapılmıştır.</t>
        </is>
      </c>
      <c r="E154" s="61" t="inlineStr">
        <is>
          <t>2 Usta
1 Usta Yard.</t>
        </is>
      </c>
      <c r="F154" s="61" t="inlineStr">
        <is>
          <t>yevmiye</t>
        </is>
      </c>
      <c r="G154" s="94" t="n">
        <v>2</v>
      </c>
      <c r="H154" s="190" t="n"/>
      <c r="I154" s="183">
        <f>+G154*H154</f>
        <v/>
      </c>
      <c r="J154" s="61" t="inlineStr">
        <is>
          <t>FX Ultra Alçıpan</t>
        </is>
      </c>
      <c r="K154" s="61" t="inlineStr">
        <is>
          <t>m²</t>
        </is>
      </c>
      <c r="L154" s="61" t="n">
        <v>15</v>
      </c>
      <c r="M154" s="61" t="n"/>
      <c r="N154" s="61" t="n"/>
      <c r="O154" s="61" t="n"/>
      <c r="P154" s="61" t="n"/>
    </row>
    <row r="155" ht="28.8" customHeight="1">
      <c r="B155" s="188" t="n"/>
      <c r="C155" s="185" t="n"/>
      <c r="D155" s="188" t="n"/>
      <c r="E155" s="185" t="n"/>
      <c r="F155" s="185" t="n"/>
      <c r="G155" s="94" t="n">
        <v>1</v>
      </c>
      <c r="H155" s="190" t="n"/>
      <c r="I155" s="183">
        <f>+G155*H155</f>
        <v/>
      </c>
      <c r="J155" s="61" t="n"/>
      <c r="K155" s="61" t="n"/>
      <c r="L155" s="61" t="n"/>
      <c r="M155" s="61" t="n"/>
      <c r="N155" s="61" t="n"/>
      <c r="O155" s="61" t="n"/>
      <c r="P155" s="61" t="n"/>
    </row>
    <row r="156" ht="28.8" customHeight="1">
      <c r="B156" s="90" t="n">
        <v>46133</v>
      </c>
      <c r="C156" s="61" t="n">
        <v>102</v>
      </c>
      <c r="D156" s="100" t="inlineStr">
        <is>
          <t>C3 Blok 0.20 kotu genelinde zaran gören alçıpan imalatlarının tamiratları tarafımızca yapılmıştır.</t>
        </is>
      </c>
      <c r="E156" s="61" t="inlineStr">
        <is>
          <t>2 Usta
1 Usta Yard.</t>
        </is>
      </c>
      <c r="F156" s="61" t="inlineStr">
        <is>
          <t>yevmiye</t>
        </is>
      </c>
      <c r="G156" s="94" t="n">
        <v>2</v>
      </c>
      <c r="H156" s="190" t="n"/>
      <c r="I156" s="183">
        <f>+G156*H156</f>
        <v/>
      </c>
      <c r="J156" s="61" t="inlineStr">
        <is>
          <t>FX Ultra Alçıpan</t>
        </is>
      </c>
      <c r="K156" s="61" t="inlineStr">
        <is>
          <t>m²</t>
        </is>
      </c>
      <c r="L156" s="61" t="n">
        <v>15</v>
      </c>
      <c r="M156" s="61" t="n"/>
      <c r="N156" s="61" t="n"/>
      <c r="O156" s="61" t="n"/>
      <c r="P156" s="61" t="n"/>
    </row>
    <row r="157" ht="28.8" customHeight="1">
      <c r="B157" s="188" t="n"/>
      <c r="C157" s="185" t="n"/>
      <c r="D157" s="188" t="n"/>
      <c r="E157" s="185" t="n"/>
      <c r="F157" s="185" t="n"/>
      <c r="G157" s="94" t="n">
        <v>1</v>
      </c>
      <c r="H157" s="190" t="n"/>
      <c r="I157" s="183">
        <f>+G157*H157</f>
        <v/>
      </c>
      <c r="J157" s="61" t="n"/>
      <c r="K157" s="61" t="n"/>
      <c r="L157" s="61" t="n"/>
      <c r="M157" s="61" t="n"/>
      <c r="N157" s="61" t="n"/>
      <c r="O157" s="61" t="n"/>
      <c r="P157" s="61" t="n"/>
    </row>
    <row r="158" ht="28.8" customHeight="1">
      <c r="B158" s="90" t="n">
        <v>46134</v>
      </c>
      <c r="C158" s="61" t="n">
        <v>103</v>
      </c>
      <c r="D158" s="100" t="inlineStr">
        <is>
          <t>C3 Blok 0.20 kotu genelinde zaran gören alçıpan imalatlarının tamiratları tarafımızca yapılmıştır.</t>
        </is>
      </c>
      <c r="E158" s="61" t="inlineStr">
        <is>
          <t>2 Usta
1 Usta Yard.</t>
        </is>
      </c>
      <c r="F158" s="61" t="inlineStr">
        <is>
          <t>yevmiye</t>
        </is>
      </c>
      <c r="G158" s="94" t="n">
        <v>2</v>
      </c>
      <c r="H158" s="190" t="n"/>
      <c r="I158" s="183">
        <f>+G158*H158</f>
        <v/>
      </c>
      <c r="J158" s="61" t="inlineStr">
        <is>
          <t>FX Ultra Alçıpan</t>
        </is>
      </c>
      <c r="K158" s="61" t="inlineStr">
        <is>
          <t>m²</t>
        </is>
      </c>
      <c r="L158" s="61" t="n">
        <v>15</v>
      </c>
      <c r="M158" s="61" t="n"/>
      <c r="N158" s="61" t="n"/>
      <c r="O158" s="61" t="n"/>
      <c r="P158" s="61" t="n"/>
    </row>
    <row r="159" ht="28.8" customHeight="1">
      <c r="B159" s="188" t="n"/>
      <c r="C159" s="185" t="n"/>
      <c r="D159" s="188" t="n"/>
      <c r="E159" s="185" t="n"/>
      <c r="F159" s="185" t="n"/>
      <c r="G159" s="94" t="n">
        <v>1</v>
      </c>
      <c r="H159" s="190" t="n"/>
      <c r="I159" s="183">
        <f>+G159*H159</f>
        <v/>
      </c>
      <c r="J159" s="61" t="n"/>
      <c r="K159" s="61" t="n"/>
      <c r="L159" s="61" t="n"/>
      <c r="M159" s="61" t="n"/>
      <c r="N159" s="61" t="n"/>
      <c r="O159" s="61" t="n"/>
      <c r="P159" s="61" t="n"/>
    </row>
    <row r="160" ht="28.8" customHeight="1">
      <c r="B160" s="90" t="n">
        <v>46135</v>
      </c>
      <c r="C160" s="61" t="n">
        <v>104</v>
      </c>
      <c r="D160" s="100" t="inlineStr">
        <is>
          <t>C3 Blok 0.20 kotu genelinde zaran gören alçıpan imalatlarının tamiratları tarafımızca yapılmıştır.</t>
        </is>
      </c>
      <c r="E160" s="61" t="inlineStr">
        <is>
          <t>2 Usta
1 Usta Yard.</t>
        </is>
      </c>
      <c r="F160" s="61" t="inlineStr">
        <is>
          <t>yevmiye</t>
        </is>
      </c>
      <c r="G160" s="94" t="n">
        <v>2</v>
      </c>
      <c r="H160" s="190" t="n"/>
      <c r="I160" s="183">
        <f>+G160*H160</f>
        <v/>
      </c>
      <c r="J160" s="61" t="inlineStr">
        <is>
          <t>FX Ultra Alçıpan</t>
        </is>
      </c>
      <c r="K160" s="61" t="inlineStr">
        <is>
          <t>m²</t>
        </is>
      </c>
      <c r="L160" s="61" t="n">
        <v>15</v>
      </c>
      <c r="M160" s="61" t="n"/>
      <c r="N160" s="61" t="n"/>
      <c r="O160" s="61" t="n"/>
      <c r="P160" s="61" t="n"/>
    </row>
    <row r="161" ht="28.8" customHeight="1">
      <c r="B161" s="188" t="n"/>
      <c r="C161" s="185" t="n"/>
      <c r="D161" s="188" t="n"/>
      <c r="E161" s="185" t="n"/>
      <c r="F161" s="185" t="n"/>
      <c r="G161" s="94" t="n">
        <v>1</v>
      </c>
      <c r="H161" s="190" t="n"/>
      <c r="I161" s="183">
        <f>+G161*H161</f>
        <v/>
      </c>
      <c r="J161" s="61" t="n"/>
      <c r="K161" s="61" t="n"/>
      <c r="L161" s="61" t="n"/>
      <c r="M161" s="61" t="n"/>
      <c r="N161" s="61" t="n"/>
      <c r="O161" s="61" t="n"/>
      <c r="P161" s="61" t="n"/>
    </row>
    <row r="162" ht="28.8" customHeight="1">
      <c r="B162" s="90" t="n">
        <v>46136</v>
      </c>
      <c r="C162" s="61" t="n">
        <v>105</v>
      </c>
      <c r="D162" s="100" t="inlineStr">
        <is>
          <t>C5 Blok 0.20 kotu genelinde zaran gören alçıpan imalatlarının tamiratları tarafımızca yapılmıştır.</t>
        </is>
      </c>
      <c r="E162" s="61" t="inlineStr">
        <is>
          <t>2 Usta
1 Usta Yard.</t>
        </is>
      </c>
      <c r="F162" s="61" t="inlineStr">
        <is>
          <t>yevmiye</t>
        </is>
      </c>
      <c r="G162" s="94" t="n">
        <v>2</v>
      </c>
      <c r="H162" s="190" t="n"/>
      <c r="I162" s="183">
        <f>+G162*H162</f>
        <v/>
      </c>
      <c r="J162" s="61" t="inlineStr">
        <is>
          <t>FX Ultra Alçıpan</t>
        </is>
      </c>
      <c r="K162" s="61" t="inlineStr">
        <is>
          <t>m²</t>
        </is>
      </c>
      <c r="L162" s="61" t="n">
        <v>30</v>
      </c>
      <c r="M162" s="61" t="n"/>
      <c r="N162" s="61" t="n"/>
      <c r="O162" s="61" t="n"/>
      <c r="P162" s="61" t="n"/>
    </row>
    <row r="163" ht="28.8" customHeight="1">
      <c r="B163" s="188" t="n"/>
      <c r="C163" s="185" t="n"/>
      <c r="D163" s="188" t="n"/>
      <c r="E163" s="185" t="n"/>
      <c r="F163" s="185" t="n"/>
      <c r="G163" s="94" t="n">
        <v>1</v>
      </c>
      <c r="H163" s="190" t="n"/>
      <c r="I163" s="183">
        <f>+G163*H163</f>
        <v/>
      </c>
      <c r="J163" s="61" t="n"/>
      <c r="K163" s="61" t="n"/>
      <c r="L163" s="61" t="n"/>
      <c r="M163" s="61" t="n"/>
      <c r="N163" s="61" t="n"/>
      <c r="O163" s="61" t="n"/>
      <c r="P163" s="61" t="n"/>
    </row>
    <row r="164" ht="28.8" customHeight="1">
      <c r="B164" s="90" t="n">
        <v>46137</v>
      </c>
      <c r="C164" s="61" t="n">
        <v>106</v>
      </c>
      <c r="D164" s="100" t="inlineStr">
        <is>
          <t>C5 Blok 0.20 kotu genelinde zaran gören alçıpan imalatlarının tamiratları tarafımızca yapılmıştır.</t>
        </is>
      </c>
      <c r="E164" s="61" t="inlineStr">
        <is>
          <t>2 Usta
1 Usta Yard.</t>
        </is>
      </c>
      <c r="F164" s="61" t="inlineStr">
        <is>
          <t>yevmiye</t>
        </is>
      </c>
      <c r="G164" s="94" t="n">
        <v>2</v>
      </c>
      <c r="H164" s="190" t="n"/>
      <c r="I164" s="183">
        <f>+G164*H164</f>
        <v/>
      </c>
      <c r="J164" s="61" t="inlineStr">
        <is>
          <t>FX Ultra Alçıpan</t>
        </is>
      </c>
      <c r="K164" s="61" t="inlineStr">
        <is>
          <t>m²</t>
        </is>
      </c>
      <c r="L164" s="61" t="n">
        <v>25</v>
      </c>
      <c r="M164" s="61" t="n"/>
      <c r="N164" s="61" t="n"/>
      <c r="O164" s="61" t="n"/>
      <c r="P164" s="61" t="n"/>
    </row>
    <row r="165" ht="28.8" customHeight="1">
      <c r="B165" s="188" t="n"/>
      <c r="C165" s="185" t="n"/>
      <c r="D165" s="188" t="n"/>
      <c r="E165" s="185" t="n"/>
      <c r="F165" s="185" t="n"/>
      <c r="G165" s="94" t="n">
        <v>1</v>
      </c>
      <c r="H165" s="190" t="n"/>
      <c r="I165" s="183">
        <f>+G165*H165</f>
        <v/>
      </c>
      <c r="J165" s="61" t="n"/>
      <c r="K165" s="61" t="n"/>
      <c r="L165" s="61" t="n"/>
      <c r="M165" s="61" t="n"/>
      <c r="N165" s="61" t="n"/>
      <c r="O165" s="61" t="n"/>
      <c r="P165" s="61" t="n"/>
    </row>
    <row r="166" ht="28.8" customHeight="1">
      <c r="B166" s="90" t="n">
        <v>46181</v>
      </c>
      <c r="C166" s="61" t="n">
        <v>107</v>
      </c>
      <c r="D166" s="100" t="inlineStr">
        <is>
          <t>Sözleşme gereği işveren tarafından talep edilen isg uzmanı bedeli.</t>
        </is>
      </c>
      <c r="E166" s="61" t="inlineStr">
        <is>
          <t>2 İSG Personeli</t>
        </is>
      </c>
      <c r="F166" s="61" t="inlineStr">
        <is>
          <t>ücret</t>
        </is>
      </c>
      <c r="G166" s="94" t="n">
        <v>2</v>
      </c>
      <c r="H166" s="190" t="n"/>
      <c r="I166" s="183">
        <f>+G166*H166</f>
        <v/>
      </c>
      <c r="J166" s="61" t="n"/>
      <c r="K166" s="61" t="n"/>
      <c r="L166" s="61" t="n"/>
      <c r="M166" s="61" t="n"/>
      <c r="N166" s="61" t="n"/>
      <c r="O166" s="61" t="n"/>
      <c r="P166" s="61" t="n"/>
    </row>
    <row r="167" ht="28.8" customHeight="1">
      <c r="B167" s="90" t="n">
        <v>46181</v>
      </c>
      <c r="C167" s="61" t="n">
        <v>108</v>
      </c>
      <c r="D167" s="100" t="inlineStr">
        <is>
          <t>Sözleşme gereği işveren tarafından talep edilen isg uzmanı bedeli.</t>
        </is>
      </c>
      <c r="E167" s="61" t="inlineStr">
        <is>
          <t>2 İSG Personeli</t>
        </is>
      </c>
      <c r="F167" s="61" t="inlineStr">
        <is>
          <t>ücret</t>
        </is>
      </c>
      <c r="G167" s="94" t="n">
        <v>2</v>
      </c>
      <c r="H167" s="190" t="n"/>
      <c r="I167" s="183">
        <f>+G167*H167</f>
        <v/>
      </c>
      <c r="J167" s="61" t="n"/>
      <c r="K167" s="61" t="n"/>
      <c r="L167" s="61" t="n"/>
      <c r="M167" s="61" t="n"/>
      <c r="N167" s="61" t="n"/>
      <c r="O167" s="61" t="n"/>
      <c r="P167" s="61" t="n"/>
    </row>
    <row r="168" ht="28.8" customHeight="1">
      <c r="B168" s="90" t="n">
        <v>46181</v>
      </c>
      <c r="C168" s="61" t="n">
        <v>109</v>
      </c>
      <c r="D168" s="100" t="inlineStr">
        <is>
          <t>Sözleşme gereği işveren tarafından talep edilen isg uzmanı bedeli.</t>
        </is>
      </c>
      <c r="E168" s="61" t="inlineStr">
        <is>
          <t>2 İSG Personeli</t>
        </is>
      </c>
      <c r="F168" s="61" t="inlineStr">
        <is>
          <t>ücret</t>
        </is>
      </c>
      <c r="G168" s="94" t="n">
        <v>2</v>
      </c>
      <c r="H168" s="190" t="n"/>
      <c r="I168" s="183">
        <f>+G168*H168</f>
        <v/>
      </c>
      <c r="J168" s="61" t="n"/>
      <c r="K168" s="61" t="n"/>
      <c r="L168" s="61" t="n"/>
      <c r="M168" s="61" t="n"/>
      <c r="N168" s="61" t="n"/>
      <c r="O168" s="61" t="n"/>
      <c r="P168" s="61" t="n"/>
    </row>
    <row r="169" ht="28.8" customHeight="1">
      <c r="B169" s="90" t="n">
        <v>46116</v>
      </c>
      <c r="C169" s="61" t="n">
        <v>110</v>
      </c>
      <c r="D169" s="100" t="inlineStr">
        <is>
          <t>C3 Blok MC03 merdiveninde yapılan ölçümler ve uygulama sırasında, kaba inşaat imalatlarındaki yüzey bozuklukları nedeniyle duvar alçı sıva kalınlıkları proje ve standart uygulama kalınlıklarının üzerine çıkmış olup yer yer yaklaşık 4-6 cm seviyelerine ulaşmıştır.</t>
        </is>
      </c>
      <c r="E169" s="61" t="inlineStr">
        <is>
          <t>5 Usta</t>
        </is>
      </c>
      <c r="F169" s="61" t="inlineStr">
        <is>
          <t>yevmiye</t>
        </is>
      </c>
      <c r="G169" s="94" t="n">
        <v>5</v>
      </c>
      <c r="H169" s="190" t="n"/>
      <c r="I169" s="183">
        <f>+G169*H169</f>
        <v/>
      </c>
      <c r="J169" s="61" t="n"/>
      <c r="K169" s="61" t="n"/>
      <c r="L169" s="61" t="n"/>
      <c r="M169" s="61" t="n"/>
      <c r="N169" s="61" t="n"/>
      <c r="O169" s="61" t="n"/>
      <c r="P169" s="61" t="n"/>
    </row>
    <row r="170" ht="28.8" customHeight="1">
      <c r="B170" s="90" t="n">
        <v>46121</v>
      </c>
      <c r="C170" s="61" t="n">
        <v>111</v>
      </c>
      <c r="D170" s="100" t="inlineStr">
        <is>
          <t>C4 10.20 kotu blok genelinde alçıpan duvar imalatına engel olan beton kırımları yapılmıştır</t>
        </is>
      </c>
      <c r="E170" s="61" t="inlineStr">
        <is>
          <t>1 Usta</t>
        </is>
      </c>
      <c r="F170" s="61" t="inlineStr">
        <is>
          <t>yevmiye</t>
        </is>
      </c>
      <c r="G170" s="94" t="n">
        <v>1</v>
      </c>
      <c r="H170" s="190" t="n"/>
      <c r="I170" s="183">
        <f>+G170*H170</f>
        <v/>
      </c>
      <c r="J170" s="61" t="n"/>
      <c r="K170" s="61" t="n"/>
      <c r="L170" s="61" t="n"/>
      <c r="M170" s="61" t="n"/>
      <c r="N170" s="61" t="n"/>
      <c r="O170" s="61" t="n"/>
      <c r="P170" s="61" t="n"/>
    </row>
    <row r="171" ht="28.8" customHeight="1">
      <c r="B171" s="90" t="n">
        <v>46121</v>
      </c>
      <c r="C171" s="61" t="n">
        <v>112</v>
      </c>
      <c r="D171" s="100" t="inlineStr">
        <is>
          <t>C5 Blok 25.20 asansör topuk betonu dökülmüştür.</t>
        </is>
      </c>
      <c r="E171" s="61" t="inlineStr">
        <is>
          <t>3 Usta</t>
        </is>
      </c>
      <c r="F171" s="61" t="inlineStr">
        <is>
          <t>yevmiye</t>
        </is>
      </c>
      <c r="G171" s="94" t="n">
        <v>3</v>
      </c>
      <c r="H171" s="190" t="n"/>
      <c r="I171" s="183">
        <f>+G171*H171</f>
        <v/>
      </c>
      <c r="J171" s="61" t="n"/>
      <c r="K171" s="61" t="n"/>
      <c r="L171" s="61" t="n"/>
      <c r="M171" s="61" t="n"/>
      <c r="N171" s="61" t="n"/>
      <c r="O171" s="61" t="n"/>
      <c r="P171" s="61" t="n"/>
    </row>
    <row r="172" ht="28.8" customHeight="1">
      <c r="B172" s="90" t="n">
        <v>46123</v>
      </c>
      <c r="C172" s="61" t="n">
        <v>113</v>
      </c>
      <c r="D172" s="100" t="inlineStr">
        <is>
          <t>C4 15.20 kotu blok genelinde alçıpan duvar imalatına engel olan beton kırımları yapılmıştır</t>
        </is>
      </c>
      <c r="E172" s="61" t="inlineStr">
        <is>
          <t>1 Usta</t>
        </is>
      </c>
      <c r="F172" s="61" t="inlineStr">
        <is>
          <t>yevmiye</t>
        </is>
      </c>
      <c r="G172" s="94" t="n">
        <v>1</v>
      </c>
      <c r="H172" s="190" t="n"/>
      <c r="I172" s="183">
        <f>+G172*H172</f>
        <v/>
      </c>
      <c r="J172" s="61" t="n"/>
      <c r="K172" s="61" t="n"/>
      <c r="L172" s="61" t="n"/>
      <c r="M172" s="61" t="n"/>
      <c r="N172" s="61" t="n"/>
      <c r="O172" s="61" t="n"/>
      <c r="P172" s="61" t="n"/>
    </row>
    <row r="173" ht="28.8" customHeight="1">
      <c r="B173" s="90" t="n">
        <v>46125</v>
      </c>
      <c r="C173" s="61" t="n">
        <v>114</v>
      </c>
      <c r="D173" s="100" t="inlineStr">
        <is>
          <t>3 adet profil merdivene plywood montajı yapıldı.</t>
        </is>
      </c>
      <c r="E173" s="61" t="inlineStr">
        <is>
          <t>1 Usta</t>
        </is>
      </c>
      <c r="F173" s="61" t="inlineStr">
        <is>
          <t>yevmiye</t>
        </is>
      </c>
      <c r="G173" s="94" t="n">
        <v>1</v>
      </c>
      <c r="H173" s="190" t="n"/>
      <c r="I173" s="183">
        <f>+G173*H173</f>
        <v/>
      </c>
      <c r="J173" s="61" t="n"/>
      <c r="K173" s="61" t="n"/>
      <c r="L173" s="61" t="n"/>
      <c r="M173" s="61" t="n"/>
      <c r="N173" s="61" t="n"/>
      <c r="O173" s="61" t="n"/>
      <c r="P173" s="61" t="n"/>
    </row>
    <row r="174" ht="28.8" customHeight="1">
      <c r="B174" s="90" t="n">
        <v>46126</v>
      </c>
      <c r="C174" s="61" t="n">
        <v>115</v>
      </c>
      <c r="D174" s="100" t="inlineStr">
        <is>
          <t>C5 Blok 0.20 kotunda elektrik odalarında sabip pompa sökümü ve beton artıklarının temizliği sırasında gazbeton duvar kırılmış, tarafımızca tekrar yapılmıştır.</t>
        </is>
      </c>
      <c r="E174" s="61" t="inlineStr">
        <is>
          <t>1 Usta
1 Usta Yard.</t>
        </is>
      </c>
      <c r="F174" s="61" t="inlineStr">
        <is>
          <t>yevmiye</t>
        </is>
      </c>
      <c r="G174" s="94" t="n">
        <v>1</v>
      </c>
      <c r="H174" s="190" t="n"/>
      <c r="I174" s="183">
        <f>+G174*H174</f>
        <v/>
      </c>
      <c r="J174" s="61" t="n"/>
      <c r="K174" s="61" t="n"/>
      <c r="L174" s="61" t="n"/>
      <c r="M174" s="61" t="n"/>
      <c r="N174" s="61" t="n"/>
      <c r="O174" s="61" t="n"/>
      <c r="P174" s="61" t="n"/>
    </row>
    <row r="175" ht="28.8" customHeight="1">
      <c r="B175" s="188" t="n"/>
      <c r="C175" s="185" t="n"/>
      <c r="D175" s="188" t="n"/>
      <c r="E175" s="185" t="n"/>
      <c r="F175" s="185" t="n"/>
      <c r="G175" s="94" t="n">
        <v>1</v>
      </c>
      <c r="H175" s="190" t="n"/>
      <c r="I175" s="183">
        <f>+G175*H175</f>
        <v/>
      </c>
      <c r="J175" s="61" t="n"/>
      <c r="K175" s="61" t="n"/>
      <c r="L175" s="61" t="n"/>
      <c r="M175" s="61" t="n"/>
      <c r="N175" s="61" t="n"/>
      <c r="O175" s="61" t="n"/>
      <c r="P175" s="61" t="n"/>
    </row>
    <row r="176" ht="28.8" customHeight="1">
      <c r="B176" s="90" t="n">
        <v>46133</v>
      </c>
      <c r="C176" s="61" t="n">
        <v>116</v>
      </c>
      <c r="D176" s="100" t="inlineStr">
        <is>
          <t>C4 20.20 kotu blok genelinde alçıpan duvar imalatına engel olan beton kırımları yapılmıştır</t>
        </is>
      </c>
      <c r="E176" s="61" t="inlineStr">
        <is>
          <t>2 Usta</t>
        </is>
      </c>
      <c r="F176" s="61" t="inlineStr">
        <is>
          <t>yevmiye</t>
        </is>
      </c>
      <c r="G176" s="94" t="n">
        <v>2</v>
      </c>
      <c r="H176" s="190" t="n"/>
      <c r="I176" s="183">
        <f>+G176*H176</f>
        <v/>
      </c>
      <c r="J176" s="61" t="n"/>
      <c r="K176" s="61" t="n"/>
      <c r="L176" s="61" t="n"/>
      <c r="M176" s="61" t="n"/>
      <c r="N176" s="61" t="n"/>
      <c r="O176" s="61" t="n"/>
      <c r="P176" s="61" t="n"/>
    </row>
    <row r="177" ht="28.8" customHeight="1">
      <c r="B177" s="90" t="n">
        <v>46134</v>
      </c>
      <c r="C177" s="61" t="n">
        <v>117</v>
      </c>
      <c r="D177" s="100" t="inlineStr">
        <is>
          <t>C4 20.20 kotu blok genelinde alçıpan duvar imalatına engel olan beton kırımları yapılmıştır</t>
        </is>
      </c>
      <c r="E177" s="61" t="inlineStr">
        <is>
          <t>2 Usta</t>
        </is>
      </c>
      <c r="F177" s="61" t="inlineStr">
        <is>
          <t>yevmiye</t>
        </is>
      </c>
      <c r="G177" s="94" t="n">
        <v>2</v>
      </c>
      <c r="H177" s="190" t="n"/>
      <c r="I177" s="183">
        <f>+G177*H177</f>
        <v/>
      </c>
      <c r="J177" s="61" t="n"/>
      <c r="K177" s="61" t="n"/>
      <c r="L177" s="61" t="n"/>
      <c r="M177" s="61" t="n"/>
      <c r="N177" s="61" t="n"/>
      <c r="O177" s="61" t="n"/>
      <c r="P177" s="61" t="n"/>
    </row>
    <row r="178" ht="28.8" customHeight="1">
      <c r="A178" t="inlineStr">
        <is>
          <t>İPTAL</t>
        </is>
      </c>
      <c r="B178" s="90" t="n">
        <v>46133</v>
      </c>
      <c r="C178" s="61" t="n">
        <v>118</v>
      </c>
      <c r="D178" s="100" t="inlineStr">
        <is>
          <t>C3 Blok 5.20 kotu kordorlarda elektrik tava kotu asma tavan kotu ile çakıştığından tava kotları tarafımızca düzeltilmiştir.</t>
        </is>
      </c>
      <c r="E178" s="61" t="inlineStr">
        <is>
          <t>2 Usta
1 Usta Yard.</t>
        </is>
      </c>
      <c r="F178" s="61" t="inlineStr">
        <is>
          <t>yevmiye</t>
        </is>
      </c>
      <c r="G178" s="94" t="n">
        <v>2</v>
      </c>
      <c r="H178" s="190" t="n"/>
      <c r="I178" s="183" t="n"/>
      <c r="J178" s="61" t="n"/>
      <c r="K178" s="61" t="n"/>
      <c r="L178" s="61" t="n"/>
      <c r="M178" s="61" t="n"/>
      <c r="N178" s="61" t="n"/>
      <c r="O178" s="61" t="n"/>
      <c r="P178" s="61" t="n"/>
    </row>
    <row r="179" ht="28.8" customHeight="1">
      <c r="B179" s="188" t="n"/>
      <c r="C179" s="185" t="n"/>
      <c r="D179" s="188" t="n"/>
      <c r="E179" s="185" t="n"/>
      <c r="F179" s="185" t="n"/>
      <c r="G179" s="94" t="n">
        <v>1</v>
      </c>
      <c r="H179" s="190" t="n"/>
      <c r="I179" s="183" t="n"/>
      <c r="J179" s="61" t="n"/>
      <c r="K179" s="61" t="n"/>
      <c r="L179" s="61" t="n"/>
      <c r="M179" s="61" t="n"/>
      <c r="N179" s="61" t="n"/>
      <c r="O179" s="61" t="n"/>
      <c r="P179" s="61" t="n"/>
    </row>
    <row r="180" ht="28.8" customHeight="1">
      <c r="A180" t="inlineStr">
        <is>
          <t>İPTAL</t>
        </is>
      </c>
      <c r="B180" s="90" t="n">
        <v>46134</v>
      </c>
      <c r="C180" s="61" t="n">
        <v>119</v>
      </c>
      <c r="D180" s="100" t="inlineStr">
        <is>
          <t>C3 Blok 10.20 kotu kordorlarda elektrik tava kotu asma tavan kotu ile çakıştığından tava kotları tarafımızca düzeltilmiştir.</t>
        </is>
      </c>
      <c r="E180" s="61" t="inlineStr">
        <is>
          <t>2 Usta
1 Usta Yard.</t>
        </is>
      </c>
      <c r="F180" s="61" t="inlineStr">
        <is>
          <t>yevmiye</t>
        </is>
      </c>
      <c r="G180" s="94" t="n">
        <v>2</v>
      </c>
      <c r="H180" s="190" t="n"/>
      <c r="I180" s="183" t="n"/>
      <c r="J180" s="61" t="n"/>
      <c r="K180" s="61" t="n"/>
      <c r="L180" s="61" t="n"/>
      <c r="M180" s="61" t="n"/>
      <c r="N180" s="61" t="n"/>
      <c r="O180" s="61" t="n"/>
      <c r="P180" s="61" t="n"/>
    </row>
    <row r="181" ht="28.8" customHeight="1">
      <c r="B181" s="188" t="n"/>
      <c r="C181" s="185" t="n"/>
      <c r="D181" s="188" t="n"/>
      <c r="E181" s="185" t="n"/>
      <c r="F181" s="185" t="n"/>
      <c r="G181" s="94" t="n">
        <v>1</v>
      </c>
      <c r="H181" s="190" t="n"/>
      <c r="I181" s="183" t="n"/>
      <c r="J181" s="61" t="n"/>
      <c r="K181" s="61" t="n"/>
      <c r="L181" s="61" t="n"/>
      <c r="M181" s="61" t="n"/>
      <c r="N181" s="61" t="n"/>
      <c r="O181" s="61" t="n"/>
      <c r="P181" s="61" t="n"/>
    </row>
    <row r="182" ht="28.8" customHeight="1">
      <c r="A182" t="inlineStr">
        <is>
          <t>İPTAL</t>
        </is>
      </c>
      <c r="B182" s="90" t="n">
        <v>46135</v>
      </c>
      <c r="C182" s="61" t="n">
        <v>120</v>
      </c>
      <c r="D182" s="100" t="inlineStr">
        <is>
          <t>C3 Blok 15.20 kotu kordorlarda elektrik tava kotu asma tavan kotu ile çakıştığından tava kotları tarafımızca düzeltilmiştir.</t>
        </is>
      </c>
      <c r="E182" s="61" t="inlineStr">
        <is>
          <t>2 Usta
1 Usta Yard.</t>
        </is>
      </c>
      <c r="F182" s="61" t="inlineStr">
        <is>
          <t>yevmiye</t>
        </is>
      </c>
      <c r="G182" s="94" t="n">
        <v>2</v>
      </c>
      <c r="H182" s="190" t="n"/>
      <c r="I182" s="183" t="n"/>
      <c r="J182" s="61" t="n"/>
      <c r="K182" s="61" t="n"/>
      <c r="L182" s="61" t="n"/>
      <c r="M182" s="61" t="n"/>
      <c r="N182" s="61" t="n"/>
      <c r="O182" s="61" t="n"/>
      <c r="P182" s="61" t="n"/>
    </row>
    <row r="183" ht="28.8" customHeight="1">
      <c r="B183" s="188" t="n"/>
      <c r="C183" s="185" t="n"/>
      <c r="D183" s="188" t="n"/>
      <c r="E183" s="185" t="n"/>
      <c r="F183" s="185" t="n"/>
      <c r="G183" s="94" t="n">
        <v>1</v>
      </c>
      <c r="H183" s="190" t="n"/>
      <c r="I183" s="183" t="n"/>
      <c r="J183" s="61" t="n"/>
      <c r="K183" s="61" t="n"/>
      <c r="L183" s="61" t="n"/>
      <c r="M183" s="61" t="n"/>
      <c r="N183" s="61" t="n"/>
      <c r="O183" s="61" t="n"/>
      <c r="P183" s="61" t="n"/>
    </row>
    <row r="184" ht="28.8" customHeight="1">
      <c r="B184" s="90" t="n">
        <v>46136</v>
      </c>
      <c r="C184" s="61" t="n">
        <v>121</v>
      </c>
      <c r="D184" s="100" t="inlineStr">
        <is>
          <t>C3 Blok 20.20 kotu kordorlarda elektrik tava kotu asma tavan kotu ile çakıştığından tava kotları tarafımızca düzeltilmiştir.</t>
        </is>
      </c>
      <c r="E184" s="61" t="inlineStr">
        <is>
          <t>2 Usta
1 Usta Yard.</t>
        </is>
      </c>
      <c r="F184" s="61" t="inlineStr">
        <is>
          <t>yevmiye</t>
        </is>
      </c>
      <c r="G184" s="94" t="n">
        <v>2</v>
      </c>
      <c r="H184" s="190" t="n"/>
      <c r="I184" s="183">
        <f>+G184*H184</f>
        <v/>
      </c>
      <c r="J184" s="61" t="n"/>
      <c r="K184" s="61" t="n"/>
      <c r="L184" s="61" t="n"/>
      <c r="M184" s="61" t="n"/>
      <c r="N184" s="61" t="n"/>
      <c r="O184" s="61" t="n"/>
      <c r="P184" s="61" t="n"/>
    </row>
    <row r="185" ht="28.8" customHeight="1">
      <c r="B185" s="188" t="n"/>
      <c r="C185" s="185" t="n"/>
      <c r="D185" s="188" t="n"/>
      <c r="E185" s="185" t="n"/>
      <c r="F185" s="185" t="n"/>
      <c r="G185" s="94" t="n">
        <v>1</v>
      </c>
      <c r="H185" s="190" t="n"/>
      <c r="I185" s="183">
        <f>+G185*H185</f>
        <v/>
      </c>
      <c r="J185" s="61" t="n"/>
      <c r="K185" s="61" t="n"/>
      <c r="L185" s="61" t="n"/>
      <c r="M185" s="61" t="n"/>
      <c r="N185" s="61" t="n"/>
      <c r="O185" s="61" t="n"/>
      <c r="P185" s="61" t="n"/>
    </row>
    <row r="186" ht="28.8" customHeight="1">
      <c r="B186" s="90" t="n">
        <v>46137</v>
      </c>
      <c r="C186" s="61" t="n">
        <v>122</v>
      </c>
      <c r="D186" s="100" t="inlineStr">
        <is>
          <t>C3 Blok 25.20 kotu kordorlarda elektrik tava kotu asma tavan kotu ile çakıştığından tava kotları tarafımızca düzeltilmiştir.</t>
        </is>
      </c>
      <c r="E186" s="61" t="inlineStr">
        <is>
          <t>2 Usta
1 Usta Yard.</t>
        </is>
      </c>
      <c r="F186" s="61" t="inlineStr">
        <is>
          <t>yevmiye</t>
        </is>
      </c>
      <c r="G186" s="94" t="n">
        <v>2</v>
      </c>
      <c r="H186" s="190" t="n"/>
      <c r="I186" s="183">
        <f>+G186*H186</f>
        <v/>
      </c>
      <c r="J186" s="61" t="n"/>
      <c r="K186" s="61" t="n"/>
      <c r="L186" s="61" t="n"/>
      <c r="M186" s="61" t="n"/>
      <c r="N186" s="61" t="n"/>
      <c r="O186" s="61" t="n"/>
      <c r="P186" s="61" t="n"/>
    </row>
    <row r="187" ht="28.8" customHeight="1">
      <c r="B187" s="188" t="n"/>
      <c r="C187" s="185" t="n"/>
      <c r="D187" s="188" t="n"/>
      <c r="E187" s="185" t="n"/>
      <c r="F187" s="185" t="n"/>
      <c r="G187" s="94" t="n">
        <v>1</v>
      </c>
      <c r="H187" s="190" t="n"/>
      <c r="I187" s="183">
        <f>+G187*H187</f>
        <v/>
      </c>
      <c r="J187" s="61" t="n"/>
      <c r="K187" s="61" t="n"/>
      <c r="L187" s="61" t="n"/>
      <c r="M187" s="61" t="n"/>
      <c r="N187" s="61" t="n"/>
      <c r="O187" s="61" t="n"/>
      <c r="P187" s="61" t="n"/>
    </row>
    <row r="188" ht="28.8" customHeight="1">
      <c r="A188" t="inlineStr">
        <is>
          <t>İPTAL</t>
        </is>
      </c>
      <c r="B188" s="90" t="n">
        <v>46138</v>
      </c>
      <c r="C188" s="61" t="n">
        <v>123</v>
      </c>
      <c r="D188" s="100" t="inlineStr">
        <is>
          <t>C5 Blok 5.20-10.20 kotlarında kordorlarda elektrik tava kotu asma tavan kotu ile çakıştığından tava kotları tarafımızca düzeltilmiştir.</t>
        </is>
      </c>
      <c r="E188" s="61" t="inlineStr">
        <is>
          <t>4 Usta
1 Usta Yard.</t>
        </is>
      </c>
      <c r="F188" s="61" t="inlineStr">
        <is>
          <t>yevmiye</t>
        </is>
      </c>
      <c r="G188" s="94" t="n">
        <v>4</v>
      </c>
      <c r="H188" s="190" t="n"/>
      <c r="I188" s="183" t="n"/>
      <c r="J188" s="61" t="n"/>
      <c r="K188" s="61" t="n"/>
      <c r="L188" s="61" t="n"/>
      <c r="M188" s="61" t="n"/>
      <c r="N188" s="61" t="n"/>
      <c r="O188" s="61" t="n"/>
      <c r="P188" s="61" t="n"/>
    </row>
    <row r="189" ht="28.8" customHeight="1">
      <c r="B189" s="188" t="n"/>
      <c r="C189" s="185" t="n"/>
      <c r="D189" s="188" t="n"/>
      <c r="E189" s="185" t="n"/>
      <c r="F189" s="185" t="n"/>
      <c r="G189" s="94" t="n">
        <v>1</v>
      </c>
      <c r="H189" s="190" t="n"/>
      <c r="I189" s="183" t="n"/>
      <c r="J189" s="61" t="n"/>
      <c r="K189" s="61" t="n"/>
      <c r="L189" s="61" t="n"/>
      <c r="M189" s="61" t="n"/>
      <c r="N189" s="61" t="n"/>
      <c r="O189" s="61" t="n"/>
      <c r="P189" s="61" t="n"/>
    </row>
    <row r="190" ht="28.8" customHeight="1">
      <c r="A190" t="inlineStr">
        <is>
          <t>İPTAL</t>
        </is>
      </c>
      <c r="B190" s="90" t="n">
        <v>46137</v>
      </c>
      <c r="C190" s="61" t="n">
        <v>124</v>
      </c>
      <c r="D190" s="100" t="inlineStr">
        <is>
          <t>C5 Blok 20.20 kotu elektrik biriminin eksiklerinden dolayı kapatılan alçıpan duvarlar sökülmüştür.</t>
        </is>
      </c>
      <c r="E190" s="61" t="inlineStr">
        <is>
          <t>1 Usta
1 Usta Yard.</t>
        </is>
      </c>
      <c r="F190" s="61" t="inlineStr">
        <is>
          <t>yevmiye</t>
        </is>
      </c>
      <c r="G190" s="94" t="n">
        <v>1</v>
      </c>
      <c r="H190" s="190" t="n"/>
      <c r="I190" s="183" t="n"/>
      <c r="J190" s="61" t="n"/>
      <c r="K190" s="61" t="n"/>
      <c r="L190" s="61" t="n"/>
      <c r="M190" s="61" t="n"/>
      <c r="N190" s="61" t="n"/>
      <c r="O190" s="61" t="n"/>
      <c r="P190" s="61" t="n"/>
    </row>
    <row r="191" ht="28.8" customHeight="1">
      <c r="B191" s="188" t="n"/>
      <c r="C191" s="185" t="n"/>
      <c r="D191" s="188" t="n"/>
      <c r="E191" s="185" t="n"/>
      <c r="F191" s="185" t="n"/>
      <c r="G191" s="94" t="n">
        <v>1</v>
      </c>
      <c r="H191" s="190" t="n"/>
      <c r="I191" s="183" t="n"/>
      <c r="J191" s="61" t="n"/>
      <c r="K191" s="61" t="n"/>
      <c r="L191" s="61" t="n"/>
      <c r="M191" s="61" t="n"/>
      <c r="N191" s="61" t="n"/>
      <c r="O191" s="61" t="n"/>
      <c r="P191" s="61" t="n"/>
    </row>
    <row r="192" ht="28.8" customHeight="1">
      <c r="B192" s="90" t="n">
        <v>46138</v>
      </c>
      <c r="C192" s="61" t="n">
        <v>125</v>
      </c>
      <c r="D192" s="100" t="inlineStr">
        <is>
          <t>C5 Blok 5.20 kotu harita biriminin kot hatası nedeniyle hatalı yapılan kapı-tv güçlendirme-seperatör güçlendirmeleri düzeltilmiştir.</t>
        </is>
      </c>
      <c r="E192" s="61" t="inlineStr">
        <is>
          <t>4 Usta
4 Usta Yard.</t>
        </is>
      </c>
      <c r="F192" s="61" t="inlineStr">
        <is>
          <t>yevmiye</t>
        </is>
      </c>
      <c r="G192" s="94" t="n">
        <v>4</v>
      </c>
      <c r="H192" s="190" t="n"/>
      <c r="I192" s="183">
        <f>+G192*H192</f>
        <v/>
      </c>
      <c r="J192" s="61" t="n"/>
      <c r="K192" s="61" t="n"/>
      <c r="L192" s="61" t="n"/>
      <c r="M192" s="61" t="n"/>
      <c r="N192" s="61" t="n"/>
      <c r="O192" s="61" t="n"/>
      <c r="P192" s="61" t="n"/>
    </row>
    <row r="193" ht="28.8" customHeight="1">
      <c r="B193" s="188" t="n"/>
      <c r="C193" s="185" t="n"/>
      <c r="D193" s="188" t="n"/>
      <c r="E193" s="185" t="n"/>
      <c r="F193" s="185" t="n"/>
      <c r="G193" s="94" t="n">
        <v>4</v>
      </c>
      <c r="H193" s="190" t="n"/>
      <c r="I193" s="183">
        <f>+G193*H193</f>
        <v/>
      </c>
      <c r="J193" s="61" t="n"/>
      <c r="K193" s="61" t="n"/>
      <c r="L193" s="61" t="n"/>
      <c r="M193" s="61" t="n"/>
      <c r="N193" s="61" t="n"/>
      <c r="O193" s="61" t="n"/>
      <c r="P193" s="61" t="n"/>
    </row>
    <row r="194" ht="28.8" customHeight="1">
      <c r="B194" s="90" t="n">
        <v>46139</v>
      </c>
      <c r="C194" s="61" t="n">
        <v>126</v>
      </c>
      <c r="D194" s="100" t="inlineStr">
        <is>
          <t>C5 Blok 5.20 kotu harita biriminin kot hatası nedeniyle hatalı yapılan kapı-tv güçlendirme-seperatör güçlendirmeleri düzeltilmiştir.</t>
        </is>
      </c>
      <c r="E194" s="61" t="inlineStr">
        <is>
          <t>4 Usta
4 Usta Yard.</t>
        </is>
      </c>
      <c r="F194" s="61" t="inlineStr">
        <is>
          <t>yevmiye</t>
        </is>
      </c>
      <c r="G194" s="94" t="n">
        <v>4</v>
      </c>
      <c r="H194" s="190" t="n"/>
      <c r="I194" s="183">
        <f>+G194*H194</f>
        <v/>
      </c>
      <c r="J194" s="61" t="n"/>
      <c r="K194" s="61" t="n"/>
      <c r="L194" s="61" t="n"/>
      <c r="M194" s="61" t="n"/>
      <c r="N194" s="61" t="n"/>
      <c r="O194" s="61" t="n"/>
      <c r="P194" s="61" t="n"/>
    </row>
    <row r="195" ht="28.8" customHeight="1">
      <c r="B195" s="188" t="n"/>
      <c r="C195" s="185" t="n"/>
      <c r="D195" s="188" t="n"/>
      <c r="E195" s="185" t="n"/>
      <c r="F195" s="185" t="n"/>
      <c r="G195" s="94" t="n">
        <v>4</v>
      </c>
      <c r="H195" s="190" t="n"/>
      <c r="I195" s="183">
        <f>+G195*H195</f>
        <v/>
      </c>
      <c r="J195" s="61" t="n"/>
      <c r="K195" s="61" t="n"/>
      <c r="L195" s="61" t="n"/>
      <c r="M195" s="61" t="n"/>
      <c r="N195" s="61" t="n"/>
      <c r="O195" s="61" t="n"/>
      <c r="P195" s="61" t="n"/>
    </row>
    <row r="196" ht="28.8" customHeight="1">
      <c r="B196" s="90" t="n">
        <v>46140</v>
      </c>
      <c r="C196" s="61" t="n">
        <v>127</v>
      </c>
      <c r="D196" s="100" t="inlineStr">
        <is>
          <t>C5 Blok 25.20 kotu harita biriminin kot hatası nedeniyle hatalı yapılan kapı güçlendirmeleri düzeltilmiştir.</t>
        </is>
      </c>
      <c r="E196" s="61" t="inlineStr">
        <is>
          <t>2 Usta
2 Usta Yard.</t>
        </is>
      </c>
      <c r="F196" s="61" t="inlineStr">
        <is>
          <t>yevmiye</t>
        </is>
      </c>
      <c r="G196" s="94" t="n">
        <v>2</v>
      </c>
      <c r="H196" s="190" t="n"/>
      <c r="I196" s="183">
        <f>+G196*H196</f>
        <v/>
      </c>
      <c r="J196" s="61" t="n"/>
      <c r="K196" s="61" t="n"/>
      <c r="L196" s="61" t="n"/>
      <c r="M196" s="61" t="n"/>
      <c r="N196" s="61" t="n"/>
      <c r="O196" s="61" t="n"/>
      <c r="P196" s="61" t="n"/>
    </row>
    <row r="197" ht="28.8" customHeight="1">
      <c r="B197" s="188" t="n"/>
      <c r="C197" s="185" t="n"/>
      <c r="D197" s="188" t="n"/>
      <c r="E197" s="185" t="n"/>
      <c r="F197" s="185" t="n"/>
      <c r="G197" s="94" t="n">
        <v>2</v>
      </c>
      <c r="H197" s="190" t="n"/>
      <c r="I197" s="183">
        <f>+G197*H197</f>
        <v/>
      </c>
      <c r="J197" s="61" t="n"/>
      <c r="K197" s="61" t="n"/>
      <c r="L197" s="61" t="n"/>
      <c r="M197" s="61" t="n"/>
      <c r="N197" s="61" t="n"/>
      <c r="O197" s="61" t="n"/>
      <c r="P197" s="61" t="n"/>
    </row>
    <row r="198" ht="28.8" customHeight="1">
      <c r="B198" s="90" t="n">
        <v>46140</v>
      </c>
      <c r="C198" s="61" t="n">
        <v>128</v>
      </c>
      <c r="D198" s="100" t="inlineStr">
        <is>
          <t>C5 Blok 20.20 kotu elektrik biriminin çalışmalarından dolayı alçıpanel duvarlar hasar görmüştür. Hasar gören duvarlar tarafımızca düzeltilmiştir.</t>
        </is>
      </c>
      <c r="E198" s="61" t="inlineStr">
        <is>
          <t>2 Usta
2 Usta Yard.</t>
        </is>
      </c>
      <c r="F198" s="61" t="inlineStr">
        <is>
          <t>yevmiye</t>
        </is>
      </c>
      <c r="G198" s="94" t="n">
        <v>2</v>
      </c>
      <c r="H198" s="190" t="n"/>
      <c r="I198" s="183">
        <f>+G198*H198</f>
        <v/>
      </c>
      <c r="J198" s="61" t="inlineStr">
        <is>
          <t>FX Ultra Alçıpan</t>
        </is>
      </c>
      <c r="K198" s="61" t="inlineStr">
        <is>
          <t>m²</t>
        </is>
      </c>
      <c r="L198" s="61" t="n">
        <v>25</v>
      </c>
      <c r="M198" s="61" t="n"/>
      <c r="N198" s="61" t="n"/>
      <c r="O198" s="61" t="n"/>
      <c r="P198" s="61" t="n"/>
    </row>
    <row r="199" ht="28.8" customHeight="1">
      <c r="B199" s="188" t="n"/>
      <c r="C199" s="185" t="n"/>
      <c r="D199" s="188" t="n"/>
      <c r="E199" s="185" t="n"/>
      <c r="F199" s="185" t="n"/>
      <c r="G199" s="94" t="n">
        <v>2</v>
      </c>
      <c r="H199" s="190" t="n"/>
      <c r="I199" s="183">
        <f>+G199*H199</f>
        <v/>
      </c>
      <c r="J199" s="61" t="n"/>
      <c r="K199" s="61" t="n"/>
      <c r="L199" s="61" t="n"/>
      <c r="M199" s="61" t="n"/>
      <c r="N199" s="61" t="n"/>
      <c r="O199" s="61" t="n"/>
      <c r="P199" s="61" t="n"/>
    </row>
    <row r="200" ht="28.8" customHeight="1">
      <c r="B200" s="90" t="n">
        <v>46140</v>
      </c>
      <c r="C200" s="61" t="n">
        <v>129</v>
      </c>
      <c r="D200" s="100" t="inlineStr">
        <is>
          <t>C3 Blok duruşma mahallerinde, duvar saten alçı imalatları tamamlandıktan sonra projede revizyona gidilmiş ve saten alçı uygulanacak alanlarda azaltma yapılmıştır. Ancak C3 Blok'ta söz konusu saten alçı imalatları, revize proje tarafımıza iletilmeden önce tamamlanmış olduğundan, revizyon kapsamında projeden çıkarılan/silinen duvarlara ait saten alçı imalatları gerçekleştirilmiştir. 24 adet duruşma salonunun her birinde 32,90 m² olmak üzere toplam 789,60 m² ilave saten alçı imalatı gerçekleştirilmiştir.</t>
        </is>
      </c>
      <c r="E200" s="61" t="n"/>
      <c r="F200" s="61" t="n"/>
      <c r="G200" s="94" t="n"/>
      <c r="H200" s="190" t="n"/>
      <c r="I200" s="183" t="n"/>
      <c r="J200" s="61" t="inlineStr">
        <is>
          <t>1.3.5 Saten Alçı Yapılması</t>
        </is>
      </c>
      <c r="K200" s="61" t="inlineStr">
        <is>
          <t>m²</t>
        </is>
      </c>
      <c r="L200" s="61" t="n">
        <v>789.6</v>
      </c>
      <c r="M200" s="61" t="n"/>
      <c r="N200" s="61" t="n"/>
      <c r="O200" s="61" t="n"/>
      <c r="P200" s="61" t="n"/>
    </row>
    <row r="201" ht="28.8" customHeight="1">
      <c r="B201" s="90" t="n">
        <v>46144</v>
      </c>
      <c r="C201" s="61" t="n">
        <v>130</v>
      </c>
      <c r="D201" s="100" t="inlineStr">
        <is>
          <t>C3 Blok 15.20 kotunda asma tavan perdelik imalatı kiriş kotunun düşük olması sebebi ile sökülmüştür. Kiriş düzeltildikten sonra tekrar yapılmıştır.</t>
        </is>
      </c>
      <c r="E201" s="61" t="inlineStr">
        <is>
          <t>4 Usta
4 Usta Yard.</t>
        </is>
      </c>
      <c r="F201" s="61" t="inlineStr">
        <is>
          <t>yevmiye</t>
        </is>
      </c>
      <c r="G201" s="94" t="n">
        <v>4</v>
      </c>
      <c r="H201" s="190" t="n"/>
      <c r="I201" s="183">
        <f>+G201*H201</f>
        <v/>
      </c>
      <c r="J201" s="61" t="inlineStr">
        <is>
          <t>40*40*2 mm Kutu Profil</t>
        </is>
      </c>
      <c r="K201" s="61" t="inlineStr">
        <is>
          <t>m</t>
        </is>
      </c>
      <c r="L201" s="61" t="n">
        <v>40</v>
      </c>
      <c r="M201" s="61" t="n"/>
      <c r="N201" s="61" t="n"/>
      <c r="O201" s="61" t="n"/>
      <c r="P201" s="61" t="n"/>
    </row>
    <row r="202" ht="28.8" customHeight="1">
      <c r="B202" s="188" t="n"/>
      <c r="C202" s="185" t="n"/>
      <c r="D202" s="188" t="n"/>
      <c r="E202" s="185" t="n"/>
      <c r="F202" s="185" t="n"/>
      <c r="G202" s="94" t="n">
        <v>4</v>
      </c>
      <c r="H202" s="190" t="n"/>
      <c r="I202" s="183">
        <f>+G202*H202</f>
        <v/>
      </c>
      <c r="J202" s="61" t="n"/>
      <c r="K202" s="61" t="n"/>
      <c r="L202" s="61" t="n"/>
      <c r="M202" s="61" t="n"/>
      <c r="N202" s="61" t="n"/>
      <c r="O202" s="61" t="n"/>
      <c r="P202" s="61" t="n"/>
    </row>
    <row r="203" ht="28.8" customHeight="1">
      <c r="B203" s="90" t="n">
        <v>46145</v>
      </c>
      <c r="C203" s="61" t="n">
        <v>131</v>
      </c>
      <c r="D203" s="100" t="inlineStr">
        <is>
          <t>C3 Blok 0.20 kotunda duvar saten sonlama öncesi diğer firmaların çalışmaları ve malzeme taşıma sırasında duvarlarda hazarlar oluşmuştur. Oluşan hasarlar tamamlanıp saten sonlama imalatı için hazır hale getirilmiştir.</t>
        </is>
      </c>
      <c r="E203" s="61" t="inlineStr">
        <is>
          <t>3 Usta
1 Usta Yard.</t>
        </is>
      </c>
      <c r="F203" s="61" t="inlineStr">
        <is>
          <t>yevmiye</t>
        </is>
      </c>
      <c r="G203" s="94" t="n">
        <v>3</v>
      </c>
      <c r="H203" s="190" t="n"/>
      <c r="I203" s="183">
        <f>+G203*H203</f>
        <v/>
      </c>
      <c r="J203" s="61" t="inlineStr">
        <is>
          <t>FX Ultra Alçıpan</t>
        </is>
      </c>
      <c r="K203" s="61" t="inlineStr">
        <is>
          <t>m²</t>
        </is>
      </c>
      <c r="L203" s="61" t="n">
        <v>15</v>
      </c>
      <c r="M203" s="61" t="n"/>
      <c r="N203" s="61" t="n"/>
      <c r="O203" s="61" t="n"/>
      <c r="P203" s="61" t="n"/>
    </row>
    <row r="204" ht="28.8" customHeight="1">
      <c r="B204" s="188" t="n"/>
      <c r="C204" s="185" t="n"/>
      <c r="D204" s="188" t="n"/>
      <c r="E204" s="185" t="n"/>
      <c r="F204" s="185" t="n"/>
      <c r="G204" s="94" t="n">
        <v>1</v>
      </c>
      <c r="H204" s="190" t="n"/>
      <c r="I204" s="183">
        <f>+G204*H204</f>
        <v/>
      </c>
      <c r="J204" s="61" t="n"/>
      <c r="K204" s="61" t="n"/>
      <c r="L204" s="61" t="n"/>
      <c r="M204" s="61" t="n"/>
      <c r="N204" s="61" t="n"/>
      <c r="O204" s="61" t="n"/>
      <c r="P204" s="61" t="n"/>
    </row>
    <row r="205" ht="28.8" customHeight="1">
      <c r="B205" s="90" t="n">
        <v>46146</v>
      </c>
      <c r="C205" s="61" t="n">
        <v>132</v>
      </c>
      <c r="D205" s="100" t="inlineStr">
        <is>
          <t>C3 Blok 15.20 kotu hakim odaları asma tavan perdelik imalatı kiriş kotunun düşük olması sebebi ile sökülmüştür. Kiriş düzeltildikten sonra tekrar yapılmıştır.</t>
        </is>
      </c>
      <c r="E205" s="61" t="inlineStr">
        <is>
          <t>4 Usta
3 Usta Yard.</t>
        </is>
      </c>
      <c r="F205" s="61" t="inlineStr">
        <is>
          <t>yevmiye</t>
        </is>
      </c>
      <c r="G205" s="94" t="n">
        <v>4</v>
      </c>
      <c r="H205" s="190" t="n"/>
      <c r="I205" s="183">
        <f>+G205*H205</f>
        <v/>
      </c>
      <c r="J205" s="61" t="inlineStr">
        <is>
          <t>40*40*2 mm Kutu Profil</t>
        </is>
      </c>
      <c r="K205" s="61" t="inlineStr">
        <is>
          <t>m</t>
        </is>
      </c>
      <c r="L205" s="61" t="n">
        <v>40</v>
      </c>
      <c r="M205" s="61" t="n"/>
      <c r="N205" s="61" t="n"/>
      <c r="O205" s="61" t="n"/>
      <c r="P205" s="61" t="n"/>
    </row>
    <row r="206" ht="28.8" customHeight="1">
      <c r="B206" s="188" t="n"/>
      <c r="C206" s="185" t="n"/>
      <c r="D206" s="188" t="n"/>
      <c r="E206" s="185" t="n"/>
      <c r="F206" s="185" t="n"/>
      <c r="G206" s="94" t="n">
        <v>3</v>
      </c>
      <c r="H206" s="190" t="n"/>
      <c r="I206" s="183">
        <f>+G206*H206</f>
        <v/>
      </c>
      <c r="J206" s="61" t="n"/>
      <c r="K206" s="61" t="n"/>
      <c r="L206" s="61" t="n"/>
      <c r="M206" s="61" t="n"/>
      <c r="N206" s="61" t="n"/>
      <c r="O206" s="61" t="n"/>
      <c r="P206" s="61" t="n"/>
    </row>
    <row r="207" ht="28.8" customHeight="1">
      <c r="B207" s="90" t="n">
        <v>46150</v>
      </c>
      <c r="C207" s="61" t="n">
        <v>133</v>
      </c>
      <c r="D207" s="100" t="inlineStr">
        <is>
          <t>C5 Blok 15.20 kotu kalem odaları asma tavan perdelik imalatı kiriş kotunun düşük olması sebebi ile sökülmüştür. Kiriş düzeltildikten sonra tekrar yapılmıştır.</t>
        </is>
      </c>
      <c r="E207" s="61" t="inlineStr">
        <is>
          <t>2 Usta
2 Usta Yard.</t>
        </is>
      </c>
      <c r="F207" s="61" t="inlineStr">
        <is>
          <t>yevmiye</t>
        </is>
      </c>
      <c r="G207" s="94" t="n">
        <v>2</v>
      </c>
      <c r="H207" s="190" t="n"/>
      <c r="I207" s="183">
        <f>+G207*H207</f>
        <v/>
      </c>
      <c r="J207" s="61" t="inlineStr">
        <is>
          <t>40*40*2 mm Kutu Profil</t>
        </is>
      </c>
      <c r="K207" s="61" t="inlineStr">
        <is>
          <t>m</t>
        </is>
      </c>
      <c r="L207" s="61" t="n">
        <v>30</v>
      </c>
      <c r="M207" s="61" t="n"/>
      <c r="N207" s="61" t="n"/>
      <c r="O207" s="61" t="n"/>
      <c r="P207" s="61" t="n"/>
    </row>
    <row r="208" ht="28.8" customHeight="1">
      <c r="B208" s="188" t="n"/>
      <c r="C208" s="185" t="n"/>
      <c r="D208" s="188" t="n"/>
      <c r="E208" s="185" t="n"/>
      <c r="F208" s="185" t="n"/>
      <c r="G208" s="94" t="n">
        <v>2</v>
      </c>
      <c r="H208" s="190" t="n"/>
      <c r="I208" s="183">
        <f>+G208*H208</f>
        <v/>
      </c>
      <c r="J208" s="61" t="n"/>
      <c r="K208" s="61" t="n"/>
      <c r="L208" s="61" t="n"/>
      <c r="M208" s="61" t="n"/>
      <c r="N208" s="61" t="n"/>
      <c r="O208" s="61" t="n"/>
      <c r="P208" s="61" t="n"/>
    </row>
    <row r="209" ht="28.8" customHeight="1">
      <c r="A209" t="inlineStr">
        <is>
          <t>İPTAL</t>
        </is>
      </c>
      <c r="B209" s="90" t="n">
        <v>46153</v>
      </c>
      <c r="C209" s="61" t="n">
        <v>134</v>
      </c>
      <c r="D209" s="100" t="inlineStr">
        <is>
          <t>C5 Blok 15.20 kotu hakim odaları elektrik birimi eksiklerinden dolayı yarım kalan alçıpan duvar imalatları tamamlanmıştır</t>
        </is>
      </c>
      <c r="E209" s="61" t="inlineStr">
        <is>
          <t>2 Usta
2 Usta Yard.</t>
        </is>
      </c>
      <c r="F209" s="61" t="inlineStr">
        <is>
          <t>yevmiye</t>
        </is>
      </c>
      <c r="G209" s="94" t="n">
        <v>2</v>
      </c>
      <c r="H209" s="190" t="n"/>
      <c r="I209" s="183" t="n"/>
      <c r="J209" s="61" t="inlineStr">
        <is>
          <t>FX Ultra Alçıpan</t>
        </is>
      </c>
      <c r="K209" s="61" t="inlineStr">
        <is>
          <t>m²</t>
        </is>
      </c>
      <c r="L209" s="61" t="n">
        <v>80</v>
      </c>
      <c r="M209" s="61" t="n"/>
      <c r="N209" s="61" t="n"/>
      <c r="O209" s="61" t="n"/>
      <c r="P209" s="61" t="n"/>
    </row>
    <row r="210" ht="28.8" customHeight="1">
      <c r="B210" s="188" t="n"/>
      <c r="C210" s="185" t="n"/>
      <c r="D210" s="188" t="n"/>
      <c r="E210" s="185" t="n"/>
      <c r="F210" s="185" t="n"/>
      <c r="G210" s="94" t="n">
        <v>2</v>
      </c>
      <c r="H210" s="190" t="n"/>
      <c r="I210" s="183" t="n"/>
      <c r="J210" s="61" t="n"/>
      <c r="K210" s="61" t="n"/>
      <c r="L210" s="61" t="n"/>
      <c r="M210" s="61" t="n"/>
      <c r="N210" s="61" t="n"/>
      <c r="O210" s="61" t="n"/>
      <c r="P210" s="61" t="n"/>
    </row>
    <row r="211" ht="28.8" customHeight="1">
      <c r="B211" s="90" t="n">
        <v>46154</v>
      </c>
      <c r="C211" s="61" t="n">
        <v>135</v>
      </c>
      <c r="D211" s="100" t="inlineStr">
        <is>
          <t>C5 Blok 20.20 kotu ŞM-84 şaftı gazbeton duvar Sc birleşim firması tarafından yıkılmıştır.</t>
        </is>
      </c>
      <c r="E211" s="61" t="inlineStr">
        <is>
          <t>1 Usta
1 Usta Yard.</t>
        </is>
      </c>
      <c r="F211" s="61" t="inlineStr">
        <is>
          <t>yevmiye</t>
        </is>
      </c>
      <c r="G211" s="94" t="n">
        <v>1</v>
      </c>
      <c r="H211" s="190" t="n"/>
      <c r="I211" s="183">
        <f>+G211*H211</f>
        <v/>
      </c>
      <c r="J211" s="61" t="n"/>
      <c r="K211" s="61" t="n"/>
      <c r="L211" s="61" t="n"/>
      <c r="M211" s="61" t="n"/>
      <c r="N211" s="61" t="n"/>
      <c r="O211" s="61" t="n"/>
      <c r="P211" s="61" t="n"/>
    </row>
    <row r="212" ht="28.8" customHeight="1">
      <c r="B212" s="188" t="n"/>
      <c r="C212" s="185" t="n"/>
      <c r="D212" s="188" t="n"/>
      <c r="E212" s="185" t="n"/>
      <c r="F212" s="185" t="n"/>
      <c r="G212" s="94" t="n">
        <v>1</v>
      </c>
      <c r="H212" s="190" t="n"/>
      <c r="I212" s="183">
        <f>+G212*H212</f>
        <v/>
      </c>
      <c r="J212" s="61" t="n"/>
      <c r="K212" s="61" t="n"/>
      <c r="L212" s="61" t="n"/>
      <c r="M212" s="61" t="n"/>
      <c r="N212" s="61" t="n"/>
      <c r="O212" s="61" t="n"/>
      <c r="P212" s="61" t="n"/>
    </row>
    <row r="213" ht="28.8" customHeight="1">
      <c r="A213" t="inlineStr">
        <is>
          <t>İPTAL</t>
        </is>
      </c>
      <c r="B213" s="90" t="n">
        <v>46154</v>
      </c>
      <c r="C213" s="61" t="n">
        <v>136</v>
      </c>
      <c r="D213" s="100" t="inlineStr">
        <is>
          <t>C3 Blok 10.20 kotu desant eksiklerinden dolayı yarım kalan alçıpan duvarlar tamamlanmıştır.</t>
        </is>
      </c>
      <c r="E213" s="61" t="inlineStr">
        <is>
          <t>2 Usta
2 Usta Yard.</t>
        </is>
      </c>
      <c r="F213" s="61" t="inlineStr">
        <is>
          <t>yevmiye</t>
        </is>
      </c>
      <c r="G213" s="94" t="n">
        <v>2</v>
      </c>
      <c r="H213" s="190" t="n"/>
      <c r="I213" s="183" t="n"/>
      <c r="J213" s="61" t="inlineStr">
        <is>
          <t>FX Ultra Alçıpan</t>
        </is>
      </c>
      <c r="K213" s="61" t="inlineStr">
        <is>
          <t>m²</t>
        </is>
      </c>
      <c r="L213" s="61" t="n">
        <v>60</v>
      </c>
      <c r="M213" s="61" t="n"/>
      <c r="N213" s="61" t="n"/>
      <c r="O213" s="61" t="n"/>
      <c r="P213" s="61" t="n"/>
    </row>
    <row r="214" ht="28.8" customHeight="1">
      <c r="B214" s="188" t="n"/>
      <c r="C214" s="185" t="n"/>
      <c r="D214" s="188" t="n"/>
      <c r="E214" s="185" t="n"/>
      <c r="F214" s="185" t="n"/>
      <c r="G214" s="94" t="n">
        <v>2</v>
      </c>
      <c r="H214" s="190" t="n"/>
      <c r="I214" s="183" t="n"/>
      <c r="J214" s="61" t="n"/>
      <c r="K214" s="61" t="n"/>
      <c r="L214" s="61" t="n"/>
      <c r="M214" s="61" t="n"/>
      <c r="N214" s="61" t="n"/>
      <c r="O214" s="61" t="n"/>
      <c r="P214" s="61" t="n"/>
    </row>
    <row r="215" ht="28.8" customHeight="1">
      <c r="A215" t="inlineStr">
        <is>
          <t>İPTAL</t>
        </is>
      </c>
      <c r="B215" s="90" t="n">
        <v>46156</v>
      </c>
      <c r="C215" s="61" t="n">
        <v>137</v>
      </c>
      <c r="D215" s="100" t="inlineStr">
        <is>
          <t>C3 Blok 5.20 kotu desant eksiklerinden dolayı yarım kalan alçıpan duvarlar tamamlanmıştır.</t>
        </is>
      </c>
      <c r="E215" s="61" t="inlineStr">
        <is>
          <t>2 Usta
2 Usta Yard.</t>
        </is>
      </c>
      <c r="F215" s="61" t="inlineStr">
        <is>
          <t>yevmiye</t>
        </is>
      </c>
      <c r="G215" s="94" t="n">
        <v>2</v>
      </c>
      <c r="H215" s="190" t="n"/>
      <c r="I215" s="183" t="n"/>
      <c r="J215" s="61" t="inlineStr">
        <is>
          <t>FX Ultra Alçıpan</t>
        </is>
      </c>
      <c r="K215" s="61" t="inlineStr">
        <is>
          <t>m²</t>
        </is>
      </c>
      <c r="L215" s="61" t="n">
        <v>60</v>
      </c>
      <c r="M215" s="61" t="n"/>
      <c r="N215" s="61" t="n"/>
      <c r="O215" s="61" t="n"/>
      <c r="P215" s="61" t="n"/>
    </row>
    <row r="216" ht="28.8" customHeight="1">
      <c r="B216" s="188" t="n"/>
      <c r="C216" s="185" t="n"/>
      <c r="D216" s="188" t="n"/>
      <c r="E216" s="185" t="n"/>
      <c r="F216" s="185" t="n"/>
      <c r="G216" s="94" t="n">
        <v>2</v>
      </c>
      <c r="H216" s="190" t="n"/>
      <c r="I216" s="183" t="n"/>
      <c r="J216" s="61" t="n"/>
      <c r="K216" s="61" t="n"/>
      <c r="L216" s="61" t="n"/>
      <c r="M216" s="61" t="n"/>
      <c r="N216" s="61" t="n"/>
      <c r="O216" s="61" t="n"/>
      <c r="P216" s="61" t="n"/>
    </row>
    <row r="217" ht="28.8" customHeight="1">
      <c r="B217" s="90" t="n">
        <v>46158</v>
      </c>
      <c r="C217" s="61" t="n">
        <v>138</v>
      </c>
      <c r="D217" s="100" t="inlineStr">
        <is>
          <t>C5 Blok 15.20 kotu zara verilen alçıpan duvarlar düzeltilmiştir.</t>
        </is>
      </c>
      <c r="E217" s="61" t="inlineStr">
        <is>
          <t>1 Usta
1 Usta Yard.</t>
        </is>
      </c>
      <c r="F217" s="61" t="inlineStr">
        <is>
          <t>yevmiye</t>
        </is>
      </c>
      <c r="G217" s="94" t="n">
        <v>1</v>
      </c>
      <c r="H217" s="190" t="n"/>
      <c r="I217" s="183">
        <f>+G217*H217</f>
        <v/>
      </c>
      <c r="J217" s="61" t="inlineStr">
        <is>
          <t>FX Ultra Alçıpan</t>
        </is>
      </c>
      <c r="K217" s="61" t="inlineStr">
        <is>
          <t>m²</t>
        </is>
      </c>
      <c r="L217" s="61" t="n">
        <v>10</v>
      </c>
      <c r="M217" s="61" t="n"/>
      <c r="N217" s="61" t="n"/>
      <c r="O217" s="61" t="n"/>
      <c r="P217" s="61" t="n"/>
    </row>
    <row r="218" ht="28.8" customHeight="1">
      <c r="B218" s="188" t="n"/>
      <c r="C218" s="185" t="n"/>
      <c r="D218" s="188" t="n"/>
      <c r="E218" s="185" t="n"/>
      <c r="F218" s="185" t="n"/>
      <c r="G218" s="94" t="n">
        <v>1</v>
      </c>
      <c r="H218" s="190" t="n"/>
      <c r="I218" s="183">
        <f>+G218*H218</f>
        <v/>
      </c>
      <c r="J218" s="61" t="n"/>
      <c r="K218" s="61" t="n"/>
      <c r="L218" s="61" t="n"/>
      <c r="M218" s="61" t="n"/>
      <c r="N218" s="61" t="n"/>
      <c r="O218" s="61" t="n"/>
      <c r="P218" s="61" t="n"/>
    </row>
    <row r="219" ht="28.8" customHeight="1">
      <c r="B219" s="90" t="n">
        <v>46160</v>
      </c>
      <c r="C219" s="61" t="n">
        <v>139</v>
      </c>
      <c r="D219" s="100" t="inlineStr">
        <is>
          <t>C3 Blok 0.20 kotu cephe doğrama montajı sırasında zarar verilen alçıpan duvarlar düzeltilmiştir.</t>
        </is>
      </c>
      <c r="E219" s="61" t="inlineStr">
        <is>
          <t>1 Usta
1 Usta Yard.</t>
        </is>
      </c>
      <c r="F219" s="61" t="inlineStr">
        <is>
          <t>yevmiye</t>
        </is>
      </c>
      <c r="G219" s="94" t="n">
        <v>1</v>
      </c>
      <c r="H219" s="190" t="n"/>
      <c r="I219" s="183">
        <f>+G219*H219</f>
        <v/>
      </c>
      <c r="J219" s="61" t="n"/>
      <c r="K219" s="61" t="n"/>
      <c r="L219" s="61" t="n"/>
      <c r="M219" s="61" t="n"/>
      <c r="N219" s="61" t="n"/>
      <c r="O219" s="61" t="n"/>
      <c r="P219" s="61" t="n"/>
    </row>
    <row r="220" ht="28.8" customHeight="1">
      <c r="B220" s="188" t="n"/>
      <c r="C220" s="185" t="n"/>
      <c r="D220" s="188" t="n"/>
      <c r="E220" s="185" t="n"/>
      <c r="F220" s="185" t="n"/>
      <c r="G220" s="94" t="n">
        <v>1</v>
      </c>
      <c r="H220" s="190" t="n"/>
      <c r="I220" s="183">
        <f>+G220*H220</f>
        <v/>
      </c>
      <c r="J220" s="61" t="n"/>
      <c r="K220" s="61" t="n"/>
      <c r="L220" s="61" t="n"/>
      <c r="M220" s="61" t="n"/>
      <c r="N220" s="61" t="n"/>
      <c r="O220" s="61" t="n"/>
      <c r="P220" s="61" t="n"/>
    </row>
    <row r="221" ht="28.8" customHeight="1">
      <c r="B221" s="90" t="n">
        <v>46160</v>
      </c>
      <c r="C221" s="61" t="n">
        <v>140</v>
      </c>
      <c r="D221" s="100" t="inlineStr">
        <is>
          <t>C3 Blok 0.20 kotu mekanik kaynaklı su borusu patlamıştır. Koridorlardaki alçıpan duvarlar ve saten imalatı zarar görmüştür.</t>
        </is>
      </c>
      <c r="E221" s="61" t="inlineStr">
        <is>
          <t>6 Usta
4 Usta Yard.</t>
        </is>
      </c>
      <c r="F221" s="61" t="inlineStr">
        <is>
          <t>yevmiye</t>
        </is>
      </c>
      <c r="G221" s="94" t="n">
        <v>6</v>
      </c>
      <c r="H221" s="190" t="n"/>
      <c r="I221" s="183">
        <f>+G221*H221</f>
        <v/>
      </c>
      <c r="J221" s="61" t="inlineStr">
        <is>
          <t>FX Ultra Alçıpan</t>
        </is>
      </c>
      <c r="K221" s="61" t="inlineStr">
        <is>
          <t>m²</t>
        </is>
      </c>
      <c r="L221" s="61" t="n">
        <v>240</v>
      </c>
      <c r="M221" s="61" t="n"/>
      <c r="N221" s="61" t="n"/>
      <c r="O221" s="61" t="n"/>
      <c r="P221" s="61" t="n"/>
    </row>
    <row r="222" ht="28.8" customHeight="1">
      <c r="B222" s="188" t="n"/>
      <c r="C222" s="185" t="n"/>
      <c r="D222" s="188" t="n"/>
      <c r="E222" s="185" t="n"/>
      <c r="F222" s="185" t="n"/>
      <c r="G222" s="94" t="n">
        <v>4</v>
      </c>
      <c r="H222" s="190" t="n"/>
      <c r="I222" s="183">
        <f>+G222*H222</f>
        <v/>
      </c>
      <c r="J222" s="61" t="n"/>
      <c r="K222" s="61" t="n"/>
      <c r="L222" s="61" t="n"/>
      <c r="M222" s="61" t="n"/>
      <c r="N222" s="61" t="n"/>
      <c r="O222" s="61" t="n"/>
      <c r="P222" s="61" t="n"/>
    </row>
    <row r="223" ht="28.8" customHeight="1">
      <c r="B223" s="90" t="n">
        <v>46162</v>
      </c>
      <c r="C223" s="61" t="n">
        <v>141</v>
      </c>
      <c r="D223" s="100" t="inlineStr">
        <is>
          <t>C5 Blok 0.20 kotu imalatlarımıza engel olan mekanik malzemeleri tarafımızca ugun yerlere taşınmıştır.</t>
        </is>
      </c>
      <c r="E223" s="61" t="inlineStr">
        <is>
          <t>1 Usta Yard.</t>
        </is>
      </c>
      <c r="F223" s="61" t="inlineStr">
        <is>
          <t>yevmiye</t>
        </is>
      </c>
      <c r="G223" s="94" t="n">
        <v>1</v>
      </c>
      <c r="H223" s="190" t="n"/>
      <c r="I223" s="183">
        <f>+G223*H223</f>
        <v/>
      </c>
      <c r="J223" s="61" t="n"/>
      <c r="K223" s="61" t="n"/>
      <c r="L223" s="61" t="n"/>
      <c r="M223" s="61" t="n"/>
      <c r="N223" s="61" t="n"/>
      <c r="O223" s="61" t="n"/>
      <c r="P223" s="61" t="n"/>
    </row>
    <row r="224" ht="28.8" customHeight="1">
      <c r="B224" s="90" t="n">
        <v>46154</v>
      </c>
      <c r="C224" s="61" t="n">
        <v>142</v>
      </c>
      <c r="D224" s="100" t="inlineStr">
        <is>
          <t>C5 Blok 5.20 kotu c-1-034 mahalindeki alçıpan duvar hasar görmüştür. Hasar gören duvar sökülüp düzeltilmiştir.</t>
        </is>
      </c>
      <c r="E224" s="61" t="inlineStr">
        <is>
          <t>1 Usta
1 Usta Yard.</t>
        </is>
      </c>
      <c r="F224" s="61" t="inlineStr">
        <is>
          <t>yevmiye</t>
        </is>
      </c>
      <c r="G224" s="94" t="n">
        <v>1</v>
      </c>
      <c r="H224" s="190" t="n"/>
      <c r="I224" s="183">
        <f>+G224*H224</f>
        <v/>
      </c>
      <c r="J224" s="61" t="inlineStr">
        <is>
          <t>FX Ultra Alçıpan</t>
        </is>
      </c>
      <c r="K224" s="61" t="inlineStr">
        <is>
          <t>m²</t>
        </is>
      </c>
      <c r="L224" s="61" t="n">
        <v>13</v>
      </c>
      <c r="M224" s="61" t="n"/>
      <c r="N224" s="61" t="n"/>
      <c r="O224" s="61" t="n"/>
      <c r="P224" s="61" t="n"/>
    </row>
    <row r="225" ht="28.8" customHeight="1">
      <c r="B225" s="188" t="n"/>
      <c r="C225" s="185" t="n"/>
      <c r="D225" s="188" t="n"/>
      <c r="E225" s="185" t="n"/>
      <c r="F225" s="185" t="n"/>
      <c r="G225" s="94" t="n">
        <v>1</v>
      </c>
      <c r="H225" s="190" t="n"/>
      <c r="I225" s="183">
        <f>+G225*H225</f>
        <v/>
      </c>
      <c r="J225" s="61" t="inlineStr">
        <is>
          <t>DC100</t>
        </is>
      </c>
      <c r="K225" s="61" t="inlineStr">
        <is>
          <t>m</t>
        </is>
      </c>
      <c r="L225" s="61" t="n">
        <v>4.4</v>
      </c>
      <c r="M225" s="61" t="n"/>
      <c r="N225" s="61" t="n"/>
      <c r="O225" s="61" t="n"/>
      <c r="P225" s="61" t="n"/>
    </row>
    <row r="226" ht="28.8" customHeight="1">
      <c r="B226" s="90" t="n">
        <v>46177</v>
      </c>
      <c r="C226" s="61" t="n">
        <v>143</v>
      </c>
      <c r="D226" s="100" t="inlineStr">
        <is>
          <t>C3 Blok 0.20 kotu genelinde zaran gören alçıpan imalatlarının tamiratları tarafımızca yapılmıştır.</t>
        </is>
      </c>
      <c r="E226" s="61" t="inlineStr">
        <is>
          <t>4 Usta
2 Usta Yard.</t>
        </is>
      </c>
      <c r="F226" s="61" t="inlineStr">
        <is>
          <t>yevmiye</t>
        </is>
      </c>
      <c r="G226" s="94" t="n">
        <v>4</v>
      </c>
      <c r="H226" s="190" t="n"/>
      <c r="I226" s="183">
        <f>+G226*H226</f>
        <v/>
      </c>
      <c r="J226" s="61" t="inlineStr">
        <is>
          <t>FX Ultra Alçıpan</t>
        </is>
      </c>
      <c r="K226" s="61" t="inlineStr">
        <is>
          <t>m²</t>
        </is>
      </c>
      <c r="L226" s="61" t="n">
        <v>87.12</v>
      </c>
      <c r="M226" s="61" t="n"/>
      <c r="N226" s="61" t="n"/>
      <c r="O226" s="61" t="n"/>
      <c r="P226" s="61" t="n"/>
    </row>
    <row r="227" ht="28.8" customHeight="1">
      <c r="B227" s="188" t="n"/>
      <c r="C227" s="185" t="n"/>
      <c r="D227" s="188" t="n"/>
      <c r="E227" s="185" t="n"/>
      <c r="F227" s="185" t="n"/>
      <c r="G227" s="94" t="n">
        <v>2</v>
      </c>
      <c r="H227" s="190" t="n"/>
      <c r="I227" s="183">
        <f>+G227*H227</f>
        <v/>
      </c>
      <c r="J227" s="61" t="n"/>
      <c r="K227" s="61" t="n"/>
      <c r="L227" s="61" t="n"/>
      <c r="M227" s="61" t="n"/>
      <c r="N227" s="61" t="n"/>
      <c r="O227" s="61" t="n"/>
      <c r="P227" s="61" t="n"/>
    </row>
    <row r="228" ht="28.8" customHeight="1">
      <c r="B228" s="90" t="n">
        <v>46178</v>
      </c>
      <c r="C228" s="61" t="n">
        <v>144</v>
      </c>
      <c r="D228" s="100" t="inlineStr">
        <is>
          <t>C3 Blok 0.20 kotu genelinde zaran gören alçıpan imalatlarının tamiratları tarafımızca yapılmıştır.</t>
        </is>
      </c>
      <c r="E228" s="61" t="inlineStr">
        <is>
          <t>4 Usta
2 Usta Yard.</t>
        </is>
      </c>
      <c r="F228" s="61" t="inlineStr">
        <is>
          <t>yevmiye</t>
        </is>
      </c>
      <c r="G228" s="94" t="n">
        <v>4</v>
      </c>
      <c r="H228" s="190" t="n"/>
      <c r="I228" s="183">
        <f>+G228*H228</f>
        <v/>
      </c>
      <c r="J228" s="61" t="inlineStr">
        <is>
          <t>FX Ultra Alçıpan</t>
        </is>
      </c>
      <c r="K228" s="61" t="inlineStr">
        <is>
          <t>m²</t>
        </is>
      </c>
      <c r="L228" s="61" t="n">
        <v>79.2</v>
      </c>
      <c r="M228" s="61" t="n"/>
      <c r="N228" s="61" t="n"/>
      <c r="O228" s="61" t="n"/>
      <c r="P228" s="61" t="n"/>
    </row>
    <row r="229" ht="28.8" customHeight="1">
      <c r="B229" s="188" t="n"/>
      <c r="C229" s="185" t="n"/>
      <c r="D229" s="188" t="n"/>
      <c r="E229" s="185" t="n"/>
      <c r="F229" s="185" t="n"/>
      <c r="G229" s="94" t="n">
        <v>2</v>
      </c>
      <c r="H229" s="190" t="n"/>
      <c r="I229" s="183">
        <f>+G229*H229</f>
        <v/>
      </c>
      <c r="J229" s="61" t="n"/>
      <c r="K229" s="61" t="n"/>
      <c r="L229" s="61" t="n"/>
      <c r="M229" s="61" t="n"/>
      <c r="N229" s="61" t="n"/>
      <c r="O229" s="61" t="n"/>
      <c r="P229" s="61" t="n"/>
    </row>
    <row r="230" ht="28.8" customHeight="1">
      <c r="B230" s="90" t="n">
        <v>46178</v>
      </c>
      <c r="C230" s="61" t="n">
        <v>145</v>
      </c>
      <c r="D230" s="100" t="inlineStr">
        <is>
          <t>C3 Blok 0.20 kotu genelinde zaran gören alçıpan imalatlarının saten tamiratları tarafımızca yapılmıştır.</t>
        </is>
      </c>
      <c r="E230" s="61" t="inlineStr">
        <is>
          <t>2 Usta</t>
        </is>
      </c>
      <c r="F230" s="61" t="inlineStr">
        <is>
          <t>yevmiye</t>
        </is>
      </c>
      <c r="G230" s="94" t="n">
        <v>2</v>
      </c>
      <c r="H230" s="190" t="n"/>
      <c r="I230" s="183">
        <f>+G230*H230</f>
        <v/>
      </c>
      <c r="J230" s="61" t="n"/>
      <c r="K230" s="61" t="n"/>
      <c r="L230" s="61" t="n"/>
      <c r="M230" s="61" t="n"/>
      <c r="N230" s="61" t="n"/>
      <c r="O230" s="61" t="n"/>
      <c r="P230" s="61" t="n"/>
    </row>
    <row r="231" ht="28.8" customHeight="1">
      <c r="B231" s="90" t="n">
        <v>46179</v>
      </c>
      <c r="C231" s="61" t="n">
        <v>146</v>
      </c>
      <c r="D231" s="100" t="inlineStr">
        <is>
          <t>C3 Blok 0.20 kotu genelinde zaran gören alçıpan imalatlarının tamiratları tarafımızca yapılmıştır.</t>
        </is>
      </c>
      <c r="E231" s="61" t="inlineStr">
        <is>
          <t>3 Usta</t>
        </is>
      </c>
      <c r="F231" s="61" t="inlineStr">
        <is>
          <t>yevmiye</t>
        </is>
      </c>
      <c r="G231" s="94" t="n">
        <v>3</v>
      </c>
      <c r="H231" s="190" t="n"/>
      <c r="I231" s="183">
        <f>+G231*H231</f>
        <v/>
      </c>
      <c r="J231" s="61" t="inlineStr">
        <is>
          <t>FX Ultra Alçıpan</t>
        </is>
      </c>
      <c r="K231" s="61" t="inlineStr">
        <is>
          <t>m²</t>
        </is>
      </c>
      <c r="L231" s="61" t="n">
        <v>52.8</v>
      </c>
      <c r="M231" s="61" t="n"/>
      <c r="N231" s="61" t="n"/>
      <c r="O231" s="61" t="n"/>
      <c r="P231" s="61" t="n"/>
    </row>
    <row r="232" ht="28.8" customHeight="1">
      <c r="B232" s="90" t="n">
        <v>46178</v>
      </c>
      <c r="C232" s="61" t="n">
        <v>147</v>
      </c>
      <c r="D232" s="100" t="inlineStr">
        <is>
          <t>C3 Blok 0.20 kotu genelinde zaran gören alçıpan imalatlarının sıva tamiratları tarafımızca yapılmıştır.</t>
        </is>
      </c>
      <c r="E232" s="61" t="inlineStr">
        <is>
          <t>2 Usta</t>
        </is>
      </c>
      <c r="F232" s="61" t="inlineStr">
        <is>
          <t>yevmiye</t>
        </is>
      </c>
      <c r="G232" s="94" t="n">
        <v>2</v>
      </c>
      <c r="H232" s="190" t="n"/>
      <c r="I232" s="183">
        <f>+G232*H232</f>
        <v/>
      </c>
      <c r="J232" s="61" t="n"/>
      <c r="K232" s="61" t="n"/>
      <c r="L232" s="61" t="n"/>
      <c r="M232" s="61" t="n"/>
      <c r="N232" s="61" t="n"/>
      <c r="O232" s="61" t="n"/>
      <c r="P232" s="61" t="n"/>
    </row>
    <row r="233" ht="28.8" customHeight="1">
      <c r="B233" s="90" t="n">
        <v>46179</v>
      </c>
      <c r="C233" s="61" t="n">
        <v>148</v>
      </c>
      <c r="D233" s="100" t="inlineStr">
        <is>
          <t>C3 Blok 0.20 kotu genelinde zaran gören alçıpan imalatlarının tamiratları tarafımızca yapılmıştır.</t>
        </is>
      </c>
      <c r="E233" s="61" t="inlineStr">
        <is>
          <t>4 Usta
2 Usta Yard.</t>
        </is>
      </c>
      <c r="F233" s="61" t="inlineStr">
        <is>
          <t>yevmiye</t>
        </is>
      </c>
      <c r="G233" s="94" t="n">
        <v>4</v>
      </c>
      <c r="H233" s="190" t="n"/>
      <c r="I233" s="183">
        <f>+G233*H233</f>
        <v/>
      </c>
      <c r="J233" s="61" t="inlineStr">
        <is>
          <t>FX Ultra Alçıpan</t>
        </is>
      </c>
      <c r="K233" s="61" t="inlineStr">
        <is>
          <t>m²</t>
        </is>
      </c>
      <c r="L233" s="61" t="n">
        <v>92.40000000000001</v>
      </c>
      <c r="M233" s="61" t="n"/>
      <c r="N233" s="61" t="n"/>
      <c r="O233" s="61" t="n"/>
      <c r="P233" s="61" t="n"/>
    </row>
    <row r="234" ht="28.8" customHeight="1">
      <c r="B234" s="188" t="n"/>
      <c r="C234" s="185" t="n"/>
      <c r="D234" s="188" t="n"/>
      <c r="E234" s="185" t="n"/>
      <c r="F234" s="185" t="n"/>
      <c r="G234" s="94" t="n">
        <v>2</v>
      </c>
      <c r="H234" s="190" t="n"/>
      <c r="I234" s="183">
        <f>+G234*H234</f>
        <v/>
      </c>
      <c r="J234" s="61" t="n"/>
      <c r="K234" s="61" t="n"/>
      <c r="L234" s="61" t="n"/>
      <c r="M234" s="61" t="n"/>
      <c r="N234" s="61" t="n"/>
      <c r="O234" s="61" t="n"/>
      <c r="P234" s="61" t="n"/>
    </row>
    <row r="235" ht="28.8" customHeight="1">
      <c r="B235" s="90" t="n">
        <v>46180</v>
      </c>
      <c r="C235" s="61" t="n">
        <v>149</v>
      </c>
      <c r="D235" s="100" t="inlineStr">
        <is>
          <t>MC 10 MERDİVENİNDE KABADAN KAYNAKLI KALAN KISIMLARIN KIRIMLARI YAPILARAK SIVA TAMİRATLARI YAPILMIŞTIR.</t>
        </is>
      </c>
      <c r="E235" s="61" t="inlineStr">
        <is>
          <t>3 Usta</t>
        </is>
      </c>
      <c r="F235" s="61" t="inlineStr">
        <is>
          <t>yevmiye</t>
        </is>
      </c>
      <c r="G235" s="94" t="n">
        <v>3</v>
      </c>
      <c r="H235" s="190" t="n"/>
      <c r="I235" s="183">
        <f>+G235*H235</f>
        <v/>
      </c>
      <c r="J235" s="61" t="n"/>
      <c r="K235" s="61" t="n"/>
      <c r="L235" s="61" t="n"/>
      <c r="M235" s="61" t="n"/>
      <c r="N235" s="61" t="n"/>
      <c r="O235" s="61" t="n"/>
      <c r="P235" s="61" t="n"/>
    </row>
    <row r="236" ht="28.8" customHeight="1">
      <c r="B236" s="90" t="n">
        <v>46181</v>
      </c>
      <c r="C236" s="61" t="n">
        <v>150</v>
      </c>
      <c r="D236" s="100" t="inlineStr">
        <is>
          <t>C-Z-359/360 ODALARINDA AKSINDAN ÇIKAN ALÇIPAN DUVAR ALÇIPANLARI SÖKÜLEREK YENİDEN İMALATI YAPILMIŞTIR. MAHALDE SATEN İMALATI SONLANMASI SEBEBİYLE YENİDEN SATEN İŞLERİ YAPILMIŞTIR.</t>
        </is>
      </c>
      <c r="E236" s="61" t="inlineStr">
        <is>
          <t>5 Usta
1 Usta Yard.</t>
        </is>
      </c>
      <c r="F236" s="61" t="inlineStr">
        <is>
          <t>yevmiye</t>
        </is>
      </c>
      <c r="G236" s="94" t="n">
        <v>5</v>
      </c>
      <c r="H236" s="190" t="n"/>
      <c r="I236" s="183">
        <f>+G236*H236</f>
        <v/>
      </c>
      <c r="J236" s="61" t="inlineStr">
        <is>
          <t>FX Ultra Alçıpan</t>
        </is>
      </c>
      <c r="K236" s="61" t="inlineStr">
        <is>
          <t>m²</t>
        </is>
      </c>
      <c r="L236" s="61" t="n">
        <v>31.68</v>
      </c>
      <c r="M236" s="61" t="n"/>
      <c r="N236" s="61" t="n"/>
      <c r="O236" s="61" t="n"/>
      <c r="P236" s="61" t="n"/>
    </row>
    <row r="237" ht="28.8" customHeight="1">
      <c r="B237" s="188" t="n"/>
      <c r="C237" s="185" t="n"/>
      <c r="D237" s="188" t="n"/>
      <c r="E237" s="185" t="n"/>
      <c r="F237" s="185" t="n"/>
      <c r="G237" s="94" t="n">
        <v>1</v>
      </c>
      <c r="H237" s="190" t="n"/>
      <c r="I237" s="183">
        <f>+G237*H237</f>
        <v/>
      </c>
      <c r="J237" s="61" t="n"/>
      <c r="K237" s="61" t="n"/>
      <c r="L237" s="61" t="n"/>
      <c r="M237" s="61" t="n"/>
      <c r="N237" s="61" t="n"/>
      <c r="O237" s="61" t="n"/>
      <c r="P237" s="61" t="n"/>
    </row>
    <row r="238" ht="28.8" customHeight="1">
      <c r="B238" s="90" t="n">
        <v>46182</v>
      </c>
      <c r="C238" s="61" t="n">
        <v>151</v>
      </c>
      <c r="D238" s="100" t="inlineStr">
        <is>
          <t>C3 BLOK 0.20 KATINDA ZARAR GÖREN ALÇIPAN İMALATLARININ SÖKÜLEREK TAMİRATLARI YAPILMIŞTIR.</t>
        </is>
      </c>
      <c r="E238" s="61" t="inlineStr">
        <is>
          <t>4 Usta
2 Usta Yard.</t>
        </is>
      </c>
      <c r="F238" s="61" t="inlineStr">
        <is>
          <t>yevmiye</t>
        </is>
      </c>
      <c r="G238" s="94" t="n">
        <v>4</v>
      </c>
      <c r="H238" s="190" t="n"/>
      <c r="I238" s="183">
        <f>+G238*H238</f>
        <v/>
      </c>
      <c r="J238" s="61" t="inlineStr">
        <is>
          <t>FX Ultra Alçıpan</t>
        </is>
      </c>
      <c r="K238" s="61" t="inlineStr">
        <is>
          <t>m²</t>
        </is>
      </c>
      <c r="L238" s="61" t="n">
        <v>31.68</v>
      </c>
      <c r="M238" s="61" t="n"/>
      <c r="N238" s="61" t="n"/>
      <c r="O238" s="61" t="n"/>
      <c r="P238" s="61" t="n"/>
    </row>
    <row r="239" ht="28.8" customHeight="1">
      <c r="B239" s="188" t="n"/>
      <c r="C239" s="185" t="n"/>
      <c r="D239" s="188" t="n"/>
      <c r="E239" s="185" t="n"/>
      <c r="F239" s="185" t="n"/>
      <c r="G239" s="94" t="n">
        <v>2</v>
      </c>
      <c r="H239" s="190" t="n"/>
      <c r="I239" s="183">
        <f>+G239*H239</f>
        <v/>
      </c>
      <c r="J239" s="61" t="n"/>
      <c r="K239" s="61" t="n"/>
      <c r="L239" s="61" t="n"/>
      <c r="M239" s="61" t="n"/>
      <c r="N239" s="61" t="n"/>
      <c r="O239" s="61" t="n"/>
      <c r="P239" s="61" t="n"/>
    </row>
    <row r="240" ht="28.8" customHeight="1">
      <c r="B240" s="90" t="n">
        <v>46183</v>
      </c>
      <c r="C240" s="61" t="n">
        <v>152</v>
      </c>
      <c r="D240" s="100" t="inlineStr">
        <is>
          <t>C3 BLOK 0.20 KATINDA ZARAR GÖREN ALÇIPAN İMALATLARININ SÖKÜLEREK TAMİRATLARI YAPILMIŞTIR.</t>
        </is>
      </c>
      <c r="E240" s="61" t="inlineStr">
        <is>
          <t>4 Usta
2 Usta Yard.</t>
        </is>
      </c>
      <c r="F240" s="61" t="inlineStr">
        <is>
          <t>yevmiye</t>
        </is>
      </c>
      <c r="G240" s="94" t="n">
        <v>4</v>
      </c>
      <c r="H240" s="190" t="n"/>
      <c r="I240" s="183">
        <f>+G240*H240</f>
        <v/>
      </c>
      <c r="J240" s="61" t="inlineStr">
        <is>
          <t>FX Ultra Alçıpan</t>
        </is>
      </c>
      <c r="K240" s="61" t="inlineStr">
        <is>
          <t>m²</t>
        </is>
      </c>
      <c r="L240" s="61" t="n">
        <v>92.40000000000001</v>
      </c>
      <c r="M240" s="61" t="n"/>
      <c r="N240" s="61" t="n"/>
      <c r="O240" s="61" t="n"/>
      <c r="P240" s="61" t="n"/>
    </row>
    <row r="241" ht="28.8" customHeight="1">
      <c r="B241" s="188" t="n"/>
      <c r="C241" s="185" t="n"/>
      <c r="D241" s="188" t="n"/>
      <c r="E241" s="185" t="n"/>
      <c r="F241" s="185" t="n"/>
      <c r="G241" s="94" t="n">
        <v>2</v>
      </c>
      <c r="H241" s="190" t="n"/>
      <c r="I241" s="183">
        <f>+G241*H241</f>
        <v/>
      </c>
      <c r="J241" s="61" t="n"/>
      <c r="K241" s="61" t="n"/>
      <c r="L241" s="61" t="n"/>
      <c r="M241" s="61" t="n"/>
      <c r="N241" s="61" t="n"/>
      <c r="O241" s="61" t="n"/>
      <c r="P241" s="61" t="n"/>
    </row>
    <row r="242" ht="28.8" customHeight="1">
      <c r="B242" s="90" t="n">
        <v>46184</v>
      </c>
      <c r="C242" s="61" t="n">
        <v>153</v>
      </c>
      <c r="D242" s="100" t="inlineStr">
        <is>
          <t>C3 BLOK 0.20 KOTUNDA CEPHE SACLARININ TAKIMI ESNASINDA PROFİLLER VE ALÇIPANLAR SÖKÜLÜP KIRILMIŞTIR. YENİDEN TAMİRATLARI YAPILMIŞTIR.</t>
        </is>
      </c>
      <c r="E242" s="61" t="inlineStr">
        <is>
          <t>4 Usta
2 Usta Yard.</t>
        </is>
      </c>
      <c r="F242" s="61" t="inlineStr">
        <is>
          <t>yevmiye</t>
        </is>
      </c>
      <c r="G242" s="94" t="n">
        <v>4</v>
      </c>
      <c r="H242" s="190" t="n"/>
      <c r="I242" s="183">
        <f>+G242*H242</f>
        <v/>
      </c>
      <c r="J242" s="61" t="inlineStr">
        <is>
          <t>FX Ultra Alçıpan</t>
        </is>
      </c>
      <c r="K242" s="61" t="inlineStr">
        <is>
          <t>m²</t>
        </is>
      </c>
      <c r="L242" s="61" t="n">
        <v>31.68</v>
      </c>
      <c r="M242" s="61" t="n"/>
      <c r="N242" s="61" t="n"/>
      <c r="O242" s="61" t="n"/>
      <c r="P242" s="61" t="n"/>
    </row>
    <row r="243" ht="28.8" customHeight="1">
      <c r="B243" s="188" t="n"/>
      <c r="C243" s="185" t="n"/>
      <c r="D243" s="188" t="n"/>
      <c r="E243" s="185" t="n"/>
      <c r="F243" s="185" t="n"/>
      <c r="G243" s="94" t="n">
        <v>2</v>
      </c>
      <c r="H243" s="190" t="n"/>
      <c r="I243" s="183">
        <f>+G243*H243</f>
        <v/>
      </c>
      <c r="J243" s="61" t="n"/>
      <c r="K243" s="61" t="n"/>
      <c r="L243" s="61" t="n"/>
      <c r="M243" s="61" t="n"/>
      <c r="N243" s="61" t="n"/>
      <c r="O243" s="61" t="n"/>
      <c r="P243" s="61" t="n"/>
    </row>
    <row r="244" ht="28.8" customHeight="1">
      <c r="B244" s="90" t="n">
        <v>46185</v>
      </c>
      <c r="C244" s="61" t="n">
        <v>154</v>
      </c>
      <c r="D244" s="100" t="inlineStr">
        <is>
          <t>C5 BLOK 0.20 KOTUNDA CEPHE SACLARININ TAKIMI ESNASINDA PROFİLLER VE ALÇIPANLAR SÖKÜLÜP KIRILMIŞTIR. YENİDEN TAMİRATLARI YAPILMIŞTIR.</t>
        </is>
      </c>
      <c r="E244" s="61" t="inlineStr">
        <is>
          <t>6 Usta
2 Usta Yard.</t>
        </is>
      </c>
      <c r="F244" s="61" t="inlineStr">
        <is>
          <t>yevmiye</t>
        </is>
      </c>
      <c r="G244" s="94" t="n">
        <v>6</v>
      </c>
      <c r="H244" s="190" t="n"/>
      <c r="I244" s="183">
        <f>+G244*H244</f>
        <v/>
      </c>
      <c r="J244" s="61" t="inlineStr">
        <is>
          <t>FX Ultra Alçıpan</t>
        </is>
      </c>
      <c r="K244" s="61" t="inlineStr">
        <is>
          <t>m²</t>
        </is>
      </c>
      <c r="L244" s="61" t="n">
        <v>100.32</v>
      </c>
      <c r="M244" s="61" t="n"/>
      <c r="N244" s="61" t="n"/>
      <c r="O244" s="61" t="n"/>
      <c r="P244" s="61" t="n"/>
    </row>
    <row r="245" ht="28.8" customHeight="1">
      <c r="B245" s="188" t="n"/>
      <c r="C245" s="185" t="n"/>
      <c r="D245" s="188" t="n"/>
      <c r="E245" s="185" t="n"/>
      <c r="F245" s="185" t="n"/>
      <c r="G245" s="94" t="n">
        <v>2</v>
      </c>
      <c r="H245" s="190" t="n"/>
      <c r="I245" s="183">
        <f>+G245*H245</f>
        <v/>
      </c>
      <c r="J245" s="61" t="n"/>
      <c r="K245" s="61" t="n"/>
      <c r="L245" s="61" t="n"/>
      <c r="M245" s="61" t="n"/>
      <c r="N245" s="61" t="n"/>
      <c r="O245" s="61" t="n"/>
      <c r="P245" s="61" t="n"/>
    </row>
    <row r="246" ht="28.8" customHeight="1">
      <c r="B246" s="90" t="n">
        <v>46023</v>
      </c>
      <c r="C246" s="61" t="n">
        <v>155</v>
      </c>
      <c r="D246" s="100" t="inlineStr">
        <is>
          <t>DUVAR VE HATIL İMALATLARININ CEPHE KENARINDA YAPILAN ÇALIŞMALARINDA İŞ GÜVENLİĞİ ÖNLEMLERİNİ ALMAK AMACIYLA GÖZCÜ YÖNLENDİRİLMİŞTİR.</t>
        </is>
      </c>
      <c r="E246" s="61" t="inlineStr">
        <is>
          <t>RAMAZAN SOYSAL (USTA)
UĞUR CAN (USTA)
HÜSEYİN CAN (USTA)
EROL TUNA (DÜZ İŞÇİ)
ABDULAZİZ ÇELİKER (USTA)
HÜSEYİN CAN (USTA)
EROL TUNA (DÜZ İŞÇİ)
RAMAZAN SOYSAL (USTA)
UĞUR CAN (USTA)
HÜSEYİN CAN (USTA)
EROL TUNA (DÜZ İŞÇİ)
ABDULAZİZ ÇELİKER (USTA)
RAMAZAN SOYSAL (USTA)
ABDULAZİZ ÇELİKER (USTA)
EROL TUNA (DÜZ İŞÇİ)
ABDULAZİZ ÇELİKER (USTA)
HÜSEYİN CAN (USTA)
EROL TUNA (DÜZ İŞÇİ)
ABDULAZİZ ÇELİKER (USTA)
HÜSEYİN CAN (USTA)</t>
        </is>
      </c>
      <c r="F246" s="61" t="inlineStr">
        <is>
          <t>yevmiye</t>
        </is>
      </c>
      <c r="G246" s="94" t="n">
        <v>1</v>
      </c>
      <c r="H246" s="190" t="n"/>
      <c r="I246" s="183">
        <f>+G246*H246</f>
        <v/>
      </c>
      <c r="J246" s="61" t="n"/>
      <c r="K246" s="61" t="n"/>
      <c r="L246" s="61" t="n"/>
      <c r="M246" s="61" t="n"/>
      <c r="N246" s="61" t="n"/>
      <c r="O246" s="61" t="n"/>
      <c r="P246" s="61" t="n"/>
    </row>
    <row r="247" ht="28.8" customHeight="1">
      <c r="B247" s="188" t="n"/>
      <c r="C247" s="188" t="n"/>
      <c r="D247" s="188" t="n"/>
      <c r="E247" s="188" t="n"/>
      <c r="F247" s="188" t="n"/>
      <c r="G247" s="94" t="n">
        <v>1</v>
      </c>
      <c r="H247" s="190" t="n"/>
      <c r="I247" s="183">
        <f>+G247*H247</f>
        <v/>
      </c>
      <c r="J247" s="61" t="n"/>
      <c r="K247" s="61" t="n"/>
      <c r="L247" s="61" t="n"/>
      <c r="M247" s="61" t="n"/>
      <c r="N247" s="61" t="n"/>
      <c r="O247" s="61" t="n"/>
      <c r="P247" s="61" t="n"/>
    </row>
    <row r="248" ht="28.8" customHeight="1">
      <c r="B248" s="188" t="n"/>
      <c r="C248" s="188" t="n"/>
      <c r="D248" s="188" t="n"/>
      <c r="E248" s="188" t="n"/>
      <c r="F248" s="188" t="n"/>
      <c r="G248" s="94" t="n">
        <v>1</v>
      </c>
      <c r="H248" s="190" t="n"/>
      <c r="I248" s="183">
        <f>+G248*H248</f>
        <v/>
      </c>
      <c r="J248" s="61" t="n"/>
      <c r="K248" s="61" t="n"/>
      <c r="L248" s="61" t="n"/>
      <c r="M248" s="61" t="n"/>
      <c r="N248" s="61" t="n"/>
      <c r="O248" s="61" t="n"/>
      <c r="P248" s="61" t="n"/>
    </row>
    <row r="249" ht="28.8" customHeight="1">
      <c r="B249" s="188" t="n"/>
      <c r="C249" s="188" t="n"/>
      <c r="D249" s="188" t="n"/>
      <c r="E249" s="188" t="n"/>
      <c r="F249" s="188" t="n"/>
      <c r="G249" s="94" t="n">
        <v>1</v>
      </c>
      <c r="H249" s="190" t="n"/>
      <c r="I249" s="183">
        <f>+G249*H249</f>
        <v/>
      </c>
      <c r="J249" s="61" t="n"/>
      <c r="K249" s="61" t="n"/>
      <c r="L249" s="61" t="n"/>
      <c r="M249" s="61" t="n"/>
      <c r="N249" s="61" t="n"/>
      <c r="O249" s="61" t="n"/>
      <c r="P249" s="61" t="n"/>
    </row>
    <row r="250" ht="28.8" customHeight="1">
      <c r="B250" s="188" t="n"/>
      <c r="C250" s="188" t="n"/>
      <c r="D250" s="188" t="n"/>
      <c r="E250" s="188" t="n"/>
      <c r="F250" s="188" t="n"/>
      <c r="G250" s="94" t="n">
        <v>1</v>
      </c>
      <c r="H250" s="190" t="n"/>
      <c r="I250" s="183">
        <f>+G250*H250</f>
        <v/>
      </c>
      <c r="J250" s="61" t="n"/>
      <c r="K250" s="61" t="n"/>
      <c r="L250" s="61" t="n"/>
      <c r="M250" s="61" t="n"/>
      <c r="N250" s="61" t="n"/>
      <c r="O250" s="61" t="n"/>
      <c r="P250" s="61" t="n"/>
    </row>
    <row r="251" ht="28.8" customHeight="1">
      <c r="B251" s="188" t="n"/>
      <c r="C251" s="188" t="n"/>
      <c r="D251" s="188" t="n"/>
      <c r="E251" s="188" t="n"/>
      <c r="F251" s="188" t="n"/>
      <c r="G251" s="94" t="n">
        <v>1</v>
      </c>
      <c r="H251" s="190" t="n"/>
      <c r="I251" s="183">
        <f>+G251*H251</f>
        <v/>
      </c>
      <c r="J251" s="61" t="n"/>
      <c r="K251" s="61" t="n"/>
      <c r="L251" s="61" t="n"/>
      <c r="M251" s="61" t="n"/>
      <c r="N251" s="61" t="n"/>
      <c r="O251" s="61" t="n"/>
      <c r="P251" s="61" t="n"/>
    </row>
    <row r="252" ht="28.8" customHeight="1">
      <c r="B252" s="188" t="n"/>
      <c r="C252" s="188" t="n"/>
      <c r="D252" s="188" t="n"/>
      <c r="E252" s="188" t="n"/>
      <c r="F252" s="188" t="n"/>
      <c r="G252" s="94" t="n">
        <v>1</v>
      </c>
      <c r="H252" s="190" t="n"/>
      <c r="I252" s="183">
        <f>+G252*H252</f>
        <v/>
      </c>
      <c r="J252" s="61" t="n"/>
      <c r="K252" s="61" t="n"/>
      <c r="L252" s="61" t="n"/>
      <c r="M252" s="61" t="n"/>
      <c r="N252" s="61" t="n"/>
      <c r="O252" s="61" t="n"/>
      <c r="P252" s="61" t="n"/>
    </row>
    <row r="253" ht="28.8" customHeight="1">
      <c r="B253" s="188" t="n"/>
      <c r="C253" s="188" t="n"/>
      <c r="D253" s="188" t="n"/>
      <c r="E253" s="188" t="n"/>
      <c r="F253" s="188" t="n"/>
      <c r="G253" s="94" t="n">
        <v>1</v>
      </c>
      <c r="H253" s="190" t="n"/>
      <c r="I253" s="183">
        <f>+G253*H253</f>
        <v/>
      </c>
      <c r="J253" s="61" t="n"/>
      <c r="K253" s="61" t="n"/>
      <c r="L253" s="61" t="n"/>
      <c r="M253" s="61" t="n"/>
      <c r="N253" s="61" t="n"/>
      <c r="O253" s="61" t="n"/>
      <c r="P253" s="61" t="n"/>
    </row>
    <row r="254" ht="28.8" customHeight="1">
      <c r="B254" s="188" t="n"/>
      <c r="C254" s="188" t="n"/>
      <c r="D254" s="188" t="n"/>
      <c r="E254" s="188" t="n"/>
      <c r="F254" s="188" t="n"/>
      <c r="G254" s="94" t="n">
        <v>1</v>
      </c>
      <c r="H254" s="190" t="n"/>
      <c r="I254" s="183">
        <f>+G254*H254</f>
        <v/>
      </c>
      <c r="J254" s="61" t="n"/>
      <c r="K254" s="61" t="n"/>
      <c r="L254" s="61" t="n"/>
      <c r="M254" s="61" t="n"/>
      <c r="N254" s="61" t="n"/>
      <c r="O254" s="61" t="n"/>
      <c r="P254" s="61" t="n"/>
    </row>
    <row r="255" ht="28.8" customHeight="1">
      <c r="B255" s="188" t="n"/>
      <c r="C255" s="188" t="n"/>
      <c r="D255" s="188" t="n"/>
      <c r="E255" s="188" t="n"/>
      <c r="F255" s="188" t="n"/>
      <c r="G255" s="94" t="n">
        <v>1</v>
      </c>
      <c r="H255" s="190" t="n"/>
      <c r="I255" s="183">
        <f>+G255*H255</f>
        <v/>
      </c>
      <c r="J255" s="61" t="n"/>
      <c r="K255" s="61" t="n"/>
      <c r="L255" s="61" t="n"/>
      <c r="M255" s="61" t="n"/>
      <c r="N255" s="61" t="n"/>
      <c r="O255" s="61" t="n"/>
      <c r="P255" s="61" t="n"/>
    </row>
    <row r="256" ht="28.8" customHeight="1">
      <c r="B256" s="188" t="n"/>
      <c r="C256" s="188" t="n"/>
      <c r="D256" s="188" t="n"/>
      <c r="E256" s="188" t="n"/>
      <c r="F256" s="188" t="n"/>
      <c r="G256" s="94" t="n">
        <v>1</v>
      </c>
      <c r="H256" s="190" t="n"/>
      <c r="I256" s="183">
        <f>+G256*H256</f>
        <v/>
      </c>
      <c r="J256" s="61" t="n"/>
      <c r="K256" s="61" t="n"/>
      <c r="L256" s="61" t="n"/>
      <c r="M256" s="61" t="n"/>
      <c r="N256" s="61" t="n"/>
      <c r="O256" s="61" t="n"/>
      <c r="P256" s="61" t="n"/>
    </row>
    <row r="257" ht="28.8" customHeight="1">
      <c r="B257" s="188" t="n"/>
      <c r="C257" s="188" t="n"/>
      <c r="D257" s="188" t="n"/>
      <c r="E257" s="188" t="n"/>
      <c r="F257" s="188" t="n"/>
      <c r="G257" s="94" t="n">
        <v>1</v>
      </c>
      <c r="H257" s="190" t="n"/>
      <c r="I257" s="183">
        <f>+G257*H257</f>
        <v/>
      </c>
      <c r="J257" s="61" t="n"/>
      <c r="K257" s="61" t="n"/>
      <c r="L257" s="61" t="n"/>
      <c r="M257" s="61" t="n"/>
      <c r="N257" s="61" t="n"/>
      <c r="O257" s="61" t="n"/>
      <c r="P257" s="61" t="n"/>
    </row>
    <row r="258" ht="28.8" customHeight="1">
      <c r="B258" s="188" t="n"/>
      <c r="C258" s="188" t="n"/>
      <c r="D258" s="188" t="n"/>
      <c r="E258" s="188" t="n"/>
      <c r="F258" s="188" t="n"/>
      <c r="G258" s="94" t="n">
        <v>1</v>
      </c>
      <c r="H258" s="190" t="n"/>
      <c r="I258" s="183">
        <f>+G258*H258</f>
        <v/>
      </c>
      <c r="J258" s="61" t="n"/>
      <c r="K258" s="61" t="n"/>
      <c r="L258" s="61" t="n"/>
      <c r="M258" s="61" t="n"/>
      <c r="N258" s="61" t="n"/>
      <c r="O258" s="61" t="n"/>
      <c r="P258" s="61" t="n"/>
    </row>
    <row r="259" ht="28.8" customHeight="1">
      <c r="B259" s="188" t="n"/>
      <c r="C259" s="188" t="n"/>
      <c r="D259" s="188" t="n"/>
      <c r="E259" s="188" t="n"/>
      <c r="F259" s="188" t="n"/>
      <c r="G259" s="94" t="n">
        <v>1</v>
      </c>
      <c r="H259" s="190" t="n"/>
      <c r="I259" s="183">
        <f>+G259*H259</f>
        <v/>
      </c>
      <c r="J259" s="61" t="n"/>
      <c r="K259" s="61" t="n"/>
      <c r="L259" s="61" t="n"/>
      <c r="M259" s="61" t="n"/>
      <c r="N259" s="61" t="n"/>
      <c r="O259" s="61" t="n"/>
      <c r="P259" s="61" t="n"/>
    </row>
    <row r="260" ht="28.8" customHeight="1">
      <c r="B260" s="188" t="n"/>
      <c r="C260" s="188" t="n"/>
      <c r="D260" s="188" t="n"/>
      <c r="E260" s="188" t="n"/>
      <c r="F260" s="188" t="n"/>
      <c r="G260" s="94" t="n">
        <v>1</v>
      </c>
      <c r="H260" s="190" t="n"/>
      <c r="I260" s="183">
        <f>+G260*H260</f>
        <v/>
      </c>
      <c r="J260" s="61" t="n"/>
      <c r="K260" s="61" t="n"/>
      <c r="L260" s="61" t="n"/>
      <c r="M260" s="61" t="n"/>
      <c r="N260" s="61" t="n"/>
      <c r="O260" s="61" t="n"/>
      <c r="P260" s="61" t="n"/>
    </row>
    <row r="261" ht="28.8" customHeight="1">
      <c r="B261" s="188" t="n"/>
      <c r="C261" s="188" t="n"/>
      <c r="D261" s="188" t="n"/>
      <c r="E261" s="188" t="n"/>
      <c r="F261" s="188" t="n"/>
      <c r="G261" s="94" t="n">
        <v>1</v>
      </c>
      <c r="H261" s="190" t="n"/>
      <c r="I261" s="183">
        <f>+G261*H261</f>
        <v/>
      </c>
      <c r="J261" s="61" t="n"/>
      <c r="K261" s="61" t="n"/>
      <c r="L261" s="61" t="n"/>
      <c r="M261" s="61" t="n"/>
      <c r="N261" s="61" t="n"/>
      <c r="O261" s="61" t="n"/>
      <c r="P261" s="61" t="n"/>
    </row>
    <row r="262" ht="28.8" customHeight="1">
      <c r="B262" s="188" t="n"/>
      <c r="C262" s="188" t="n"/>
      <c r="D262" s="188" t="n"/>
      <c r="E262" s="188" t="n"/>
      <c r="F262" s="188" t="n"/>
      <c r="G262" s="94" t="n">
        <v>1</v>
      </c>
      <c r="H262" s="190" t="n"/>
      <c r="I262" s="183">
        <f>+G262*H262</f>
        <v/>
      </c>
      <c r="J262" s="61" t="n"/>
      <c r="K262" s="61" t="n"/>
      <c r="L262" s="61" t="n"/>
      <c r="M262" s="61" t="n"/>
      <c r="N262" s="61" t="n"/>
      <c r="O262" s="61" t="n"/>
      <c r="P262" s="61" t="n"/>
    </row>
    <row r="263" ht="28.8" customHeight="1">
      <c r="B263" s="188" t="n"/>
      <c r="C263" s="188" t="n"/>
      <c r="D263" s="188" t="n"/>
      <c r="E263" s="188" t="n"/>
      <c r="F263" s="188" t="n"/>
      <c r="G263" s="94" t="n">
        <v>1</v>
      </c>
      <c r="H263" s="190" t="n"/>
      <c r="I263" s="183">
        <f>+G263*H263</f>
        <v/>
      </c>
      <c r="J263" s="61" t="n"/>
      <c r="K263" s="61" t="n"/>
      <c r="L263" s="61" t="n"/>
      <c r="M263" s="61" t="n"/>
      <c r="N263" s="61" t="n"/>
      <c r="O263" s="61" t="n"/>
      <c r="P263" s="61" t="n"/>
    </row>
    <row r="264" ht="28.8" customHeight="1">
      <c r="B264" s="188" t="n"/>
      <c r="C264" s="188" t="n"/>
      <c r="D264" s="188" t="n"/>
      <c r="E264" s="188" t="n"/>
      <c r="F264" s="188" t="n"/>
      <c r="G264" s="94" t="n">
        <v>1</v>
      </c>
      <c r="H264" s="190" t="n"/>
      <c r="I264" s="183">
        <f>+G264*H264</f>
        <v/>
      </c>
      <c r="J264" s="61" t="n"/>
      <c r="K264" s="61" t="n"/>
      <c r="L264" s="61" t="n"/>
      <c r="M264" s="61" t="n"/>
      <c r="N264" s="61" t="n"/>
      <c r="O264" s="61" t="n"/>
      <c r="P264" s="61" t="n"/>
    </row>
    <row r="265" ht="28.8" customHeight="1">
      <c r="B265" s="188" t="n"/>
      <c r="C265" s="185" t="n"/>
      <c r="D265" s="188" t="n"/>
      <c r="E265" s="185" t="n"/>
      <c r="F265" s="185" t="n"/>
      <c r="G265" s="94" t="n">
        <v>1</v>
      </c>
      <c r="H265" s="190" t="n"/>
      <c r="I265" s="183">
        <f>+G265*H265</f>
        <v/>
      </c>
      <c r="J265" s="61" t="n"/>
      <c r="K265" s="61" t="n"/>
      <c r="L265" s="61" t="n"/>
      <c r="M265" s="61" t="n"/>
      <c r="N265" s="61" t="n"/>
      <c r="O265" s="61" t="n"/>
      <c r="P265" s="61" t="n"/>
    </row>
    <row r="266" ht="28.8" customHeight="1">
      <c r="B266" s="90" t="n">
        <v>46054</v>
      </c>
      <c r="C266" s="61" t="n">
        <v>156</v>
      </c>
      <c r="D266" s="100" t="inlineStr">
        <is>
          <t>DUVAR VE HATIL İMALATLARININ CEPHE KENARINDA YAPILAN ÇALIŞMALARINDA İŞ GÜVENLİĞİ ÖNLEMLERİNİ ALMAK AMACIYLA GÖZCÜ YÖNLENDİRİLMİŞTİR.</t>
        </is>
      </c>
      <c r="E266" s="61" t="inlineStr">
        <is>
          <t>RAMAZAN SOYSAL (USTA)
YUSUF SOYSAL (USTA)
BARIŞ ÇELİK (USTA)
EROL TUNA (İŞÇİ)
MERT YALDIZLI (USTA)
HÜSEYİN CAN (USTA)
EROL TUNA (İŞÇİ)
MERT YALDIZLI (USTA)
HÜSEYİN CAN (USTA)
YUSUF SOYSAL (USTA)
BARIŞ ÇELİK (USTA)
EROL TUNA (İŞÇİ)
EROL TUNA (İŞÇİ)
BARIŞ ÇELİK (USTA)
EROL TUNA (İŞÇİ)
MERT YALDIZLI (USTA)
HÜSEYİN CAN (USTA)
RAMAZAN SOYSAL (USTA)
YUSUF SOYSAL (USTA)
BARIŞ ÇELİK (USTA)
EROL TUNA (İŞÇİ)
MERT YALDIZLI (USTA)
EROL TUNA (İŞÇİ)</t>
        </is>
      </c>
      <c r="F266" s="61" t="inlineStr">
        <is>
          <t>yevmiye</t>
        </is>
      </c>
      <c r="G266" s="94" t="n">
        <v>1</v>
      </c>
      <c r="H266" s="190" t="n"/>
      <c r="I266" s="183">
        <f>+G266*H266</f>
        <v/>
      </c>
      <c r="J266" s="61" t="n"/>
      <c r="K266" s="61" t="n"/>
      <c r="L266" s="61" t="n"/>
      <c r="M266" s="61" t="n"/>
      <c r="N266" s="61" t="n"/>
      <c r="O266" s="61" t="n"/>
      <c r="P266" s="61" t="n"/>
    </row>
    <row r="267" ht="28.8" customHeight="1">
      <c r="B267" s="188" t="n"/>
      <c r="C267" s="188" t="n"/>
      <c r="D267" s="188" t="n"/>
      <c r="E267" s="188" t="n"/>
      <c r="F267" s="188" t="n"/>
      <c r="G267" s="94" t="n">
        <v>1</v>
      </c>
      <c r="H267" s="190" t="n"/>
      <c r="I267" s="183">
        <f>+G267*H267</f>
        <v/>
      </c>
      <c r="J267" s="61" t="n"/>
      <c r="K267" s="61" t="n"/>
      <c r="L267" s="61" t="n"/>
      <c r="M267" s="61" t="n"/>
      <c r="N267" s="61" t="n"/>
      <c r="O267" s="61" t="n"/>
      <c r="P267" s="61" t="n"/>
    </row>
    <row r="268" ht="28.8" customHeight="1">
      <c r="B268" s="188" t="n"/>
      <c r="C268" s="188" t="n"/>
      <c r="D268" s="188" t="n"/>
      <c r="E268" s="188" t="n"/>
      <c r="F268" s="188" t="n"/>
      <c r="G268" s="94" t="n">
        <v>1</v>
      </c>
      <c r="H268" s="190" t="n"/>
      <c r="I268" s="183">
        <f>+G268*H268</f>
        <v/>
      </c>
      <c r="J268" s="61" t="n"/>
      <c r="K268" s="61" t="n"/>
      <c r="L268" s="61" t="n"/>
      <c r="M268" s="61" t="n"/>
      <c r="N268" s="61" t="n"/>
      <c r="O268" s="61" t="n"/>
      <c r="P268" s="61" t="n"/>
    </row>
    <row r="269" ht="28.8" customHeight="1">
      <c r="B269" s="188" t="n"/>
      <c r="C269" s="188" t="n"/>
      <c r="D269" s="188" t="n"/>
      <c r="E269" s="188" t="n"/>
      <c r="F269" s="188" t="n"/>
      <c r="G269" s="94" t="n">
        <v>1</v>
      </c>
      <c r="H269" s="190" t="n"/>
      <c r="I269" s="183">
        <f>+G269*H269</f>
        <v/>
      </c>
      <c r="J269" s="61" t="n"/>
      <c r="K269" s="61" t="n"/>
      <c r="L269" s="61" t="n"/>
      <c r="M269" s="61" t="n"/>
      <c r="N269" s="61" t="n"/>
      <c r="O269" s="61" t="n"/>
      <c r="P269" s="61" t="n"/>
    </row>
    <row r="270" ht="28.8" customHeight="1">
      <c r="B270" s="188" t="n"/>
      <c r="C270" s="188" t="n"/>
      <c r="D270" s="188" t="n"/>
      <c r="E270" s="188" t="n"/>
      <c r="F270" s="188" t="n"/>
      <c r="G270" s="94" t="n">
        <v>1</v>
      </c>
      <c r="H270" s="190" t="n"/>
      <c r="I270" s="183">
        <f>+G270*H270</f>
        <v/>
      </c>
      <c r="J270" s="61" t="n"/>
      <c r="K270" s="61" t="n"/>
      <c r="L270" s="61" t="n"/>
      <c r="M270" s="61" t="n"/>
      <c r="N270" s="61" t="n"/>
      <c r="O270" s="61" t="n"/>
      <c r="P270" s="61" t="n"/>
    </row>
    <row r="271" ht="28.8" customHeight="1">
      <c r="B271" s="188" t="n"/>
      <c r="C271" s="188" t="n"/>
      <c r="D271" s="188" t="n"/>
      <c r="E271" s="188" t="n"/>
      <c r="F271" s="188" t="n"/>
      <c r="G271" s="94" t="n">
        <v>1</v>
      </c>
      <c r="H271" s="190" t="n"/>
      <c r="I271" s="183">
        <f>+G271*H271</f>
        <v/>
      </c>
      <c r="J271" s="61" t="n"/>
      <c r="K271" s="61" t="n"/>
      <c r="L271" s="61" t="n"/>
      <c r="M271" s="61" t="n"/>
      <c r="N271" s="61" t="n"/>
      <c r="O271" s="61" t="n"/>
      <c r="P271" s="61" t="n"/>
    </row>
    <row r="272" ht="28.8" customHeight="1">
      <c r="B272" s="188" t="n"/>
      <c r="C272" s="188" t="n"/>
      <c r="D272" s="188" t="n"/>
      <c r="E272" s="188" t="n"/>
      <c r="F272" s="188" t="n"/>
      <c r="G272" s="94" t="n">
        <v>1</v>
      </c>
      <c r="H272" s="190" t="n"/>
      <c r="I272" s="183">
        <f>+G272*H272</f>
        <v/>
      </c>
      <c r="J272" s="61" t="n"/>
      <c r="K272" s="61" t="n"/>
      <c r="L272" s="61" t="n"/>
      <c r="M272" s="61" t="n"/>
      <c r="N272" s="61" t="n"/>
      <c r="O272" s="61" t="n"/>
      <c r="P272" s="61" t="n"/>
    </row>
    <row r="273" ht="28.8" customHeight="1">
      <c r="B273" s="188" t="n"/>
      <c r="C273" s="188" t="n"/>
      <c r="D273" s="188" t="n"/>
      <c r="E273" s="188" t="n"/>
      <c r="F273" s="188" t="n"/>
      <c r="G273" s="94" t="n">
        <v>1</v>
      </c>
      <c r="H273" s="190" t="n"/>
      <c r="I273" s="183">
        <f>+G273*H273</f>
        <v/>
      </c>
      <c r="J273" s="61" t="n"/>
      <c r="K273" s="61" t="n"/>
      <c r="L273" s="61" t="n"/>
      <c r="M273" s="61" t="n"/>
      <c r="N273" s="61" t="n"/>
      <c r="O273" s="61" t="n"/>
      <c r="P273" s="61" t="n"/>
    </row>
    <row r="274" ht="28.8" customHeight="1">
      <c r="B274" s="188" t="n"/>
      <c r="C274" s="188" t="n"/>
      <c r="D274" s="188" t="n"/>
      <c r="E274" s="188" t="n"/>
      <c r="F274" s="188" t="n"/>
      <c r="G274" s="94" t="n">
        <v>1</v>
      </c>
      <c r="H274" s="190" t="n"/>
      <c r="I274" s="183">
        <f>+G274*H274</f>
        <v/>
      </c>
      <c r="J274" s="61" t="n"/>
      <c r="K274" s="61" t="n"/>
      <c r="L274" s="61" t="n"/>
      <c r="M274" s="61" t="n"/>
      <c r="N274" s="61" t="n"/>
      <c r="O274" s="61" t="n"/>
      <c r="P274" s="61" t="n"/>
    </row>
    <row r="275" ht="28.8" customHeight="1">
      <c r="B275" s="188" t="n"/>
      <c r="C275" s="188" t="n"/>
      <c r="D275" s="188" t="n"/>
      <c r="E275" s="188" t="n"/>
      <c r="F275" s="188" t="n"/>
      <c r="G275" s="94" t="n">
        <v>1</v>
      </c>
      <c r="H275" s="190" t="n"/>
      <c r="I275" s="183">
        <f>+G275*H275</f>
        <v/>
      </c>
      <c r="J275" s="61" t="n"/>
      <c r="K275" s="61" t="n"/>
      <c r="L275" s="61" t="n"/>
      <c r="M275" s="61" t="n"/>
      <c r="N275" s="61" t="n"/>
      <c r="O275" s="61" t="n"/>
      <c r="P275" s="61" t="n"/>
    </row>
    <row r="276" ht="28.8" customHeight="1">
      <c r="B276" s="188" t="n"/>
      <c r="C276" s="188" t="n"/>
      <c r="D276" s="188" t="n"/>
      <c r="E276" s="188" t="n"/>
      <c r="F276" s="188" t="n"/>
      <c r="G276" s="94" t="n">
        <v>1</v>
      </c>
      <c r="H276" s="190" t="n"/>
      <c r="I276" s="183">
        <f>+G276*H276</f>
        <v/>
      </c>
      <c r="J276" s="61" t="n"/>
      <c r="K276" s="61" t="n"/>
      <c r="L276" s="61" t="n"/>
      <c r="M276" s="61" t="n"/>
      <c r="N276" s="61" t="n"/>
      <c r="O276" s="61" t="n"/>
      <c r="P276" s="61" t="n"/>
    </row>
    <row r="277" ht="28.8" customHeight="1">
      <c r="B277" s="188" t="n"/>
      <c r="C277" s="188" t="n"/>
      <c r="D277" s="188" t="n"/>
      <c r="E277" s="188" t="n"/>
      <c r="F277" s="188" t="n"/>
      <c r="G277" s="94" t="n">
        <v>1</v>
      </c>
      <c r="H277" s="190" t="n"/>
      <c r="I277" s="183">
        <f>+G277*H277</f>
        <v/>
      </c>
      <c r="J277" s="61" t="n"/>
      <c r="K277" s="61" t="n"/>
      <c r="L277" s="61" t="n"/>
      <c r="M277" s="61" t="n"/>
      <c r="N277" s="61" t="n"/>
      <c r="O277" s="61" t="n"/>
      <c r="P277" s="61" t="n"/>
    </row>
    <row r="278" ht="28.8" customHeight="1">
      <c r="B278" s="188" t="n"/>
      <c r="C278" s="188" t="n"/>
      <c r="D278" s="188" t="n"/>
      <c r="E278" s="188" t="n"/>
      <c r="F278" s="188" t="n"/>
      <c r="G278" s="94" t="n">
        <v>1</v>
      </c>
      <c r="H278" s="190" t="n"/>
      <c r="I278" s="183">
        <f>+G278*H278</f>
        <v/>
      </c>
      <c r="J278" s="61" t="n"/>
      <c r="K278" s="61" t="n"/>
      <c r="L278" s="61" t="n"/>
      <c r="M278" s="61" t="n"/>
      <c r="N278" s="61" t="n"/>
      <c r="O278" s="61" t="n"/>
      <c r="P278" s="61" t="n"/>
    </row>
    <row r="279" ht="28.8" customHeight="1">
      <c r="B279" s="188" t="n"/>
      <c r="C279" s="188" t="n"/>
      <c r="D279" s="188" t="n"/>
      <c r="E279" s="188" t="n"/>
      <c r="F279" s="188" t="n"/>
      <c r="G279" s="94" t="n">
        <v>1</v>
      </c>
      <c r="H279" s="190" t="n"/>
      <c r="I279" s="183">
        <f>+G279*H279</f>
        <v/>
      </c>
      <c r="J279" s="61" t="n"/>
      <c r="K279" s="61" t="n"/>
      <c r="L279" s="61" t="n"/>
      <c r="M279" s="61" t="n"/>
      <c r="N279" s="61" t="n"/>
      <c r="O279" s="61" t="n"/>
      <c r="P279" s="61" t="n"/>
    </row>
    <row r="280" ht="28.8" customHeight="1">
      <c r="B280" s="188" t="n"/>
      <c r="C280" s="188" t="n"/>
      <c r="D280" s="188" t="n"/>
      <c r="E280" s="188" t="n"/>
      <c r="F280" s="188" t="n"/>
      <c r="G280" s="94" t="n">
        <v>1</v>
      </c>
      <c r="H280" s="190" t="n"/>
      <c r="I280" s="183">
        <f>+G280*H280</f>
        <v/>
      </c>
      <c r="J280" s="61" t="n"/>
      <c r="K280" s="61" t="n"/>
      <c r="L280" s="61" t="n"/>
      <c r="M280" s="61" t="n"/>
      <c r="N280" s="61" t="n"/>
      <c r="O280" s="61" t="n"/>
      <c r="P280" s="61" t="n"/>
    </row>
    <row r="281" ht="28.8" customHeight="1">
      <c r="B281" s="188" t="n"/>
      <c r="C281" s="188" t="n"/>
      <c r="D281" s="188" t="n"/>
      <c r="E281" s="188" t="n"/>
      <c r="F281" s="188" t="n"/>
      <c r="G281" s="94" t="n">
        <v>1</v>
      </c>
      <c r="H281" s="190" t="n"/>
      <c r="I281" s="183">
        <f>+G281*H281</f>
        <v/>
      </c>
      <c r="J281" s="61" t="n"/>
      <c r="K281" s="61" t="n"/>
      <c r="L281" s="61" t="n"/>
      <c r="M281" s="61" t="n"/>
      <c r="N281" s="61" t="n"/>
      <c r="O281" s="61" t="n"/>
      <c r="P281" s="61" t="n"/>
    </row>
    <row r="282" ht="28.8" customHeight="1">
      <c r="B282" s="188" t="n"/>
      <c r="C282" s="188" t="n"/>
      <c r="D282" s="188" t="n"/>
      <c r="E282" s="188" t="n"/>
      <c r="F282" s="188" t="n"/>
      <c r="G282" s="94" t="n">
        <v>1</v>
      </c>
      <c r="H282" s="190" t="n"/>
      <c r="I282" s="183">
        <f>+G282*H282</f>
        <v/>
      </c>
      <c r="J282" s="61" t="n"/>
      <c r="K282" s="61" t="n"/>
      <c r="L282" s="61" t="n"/>
      <c r="M282" s="61" t="n"/>
      <c r="N282" s="61" t="n"/>
      <c r="O282" s="61" t="n"/>
      <c r="P282" s="61" t="n"/>
    </row>
    <row r="283" ht="28.8" customHeight="1">
      <c r="B283" s="188" t="n"/>
      <c r="C283" s="188" t="n"/>
      <c r="D283" s="188" t="n"/>
      <c r="E283" s="188" t="n"/>
      <c r="F283" s="188" t="n"/>
      <c r="G283" s="94" t="n">
        <v>1</v>
      </c>
      <c r="H283" s="190" t="n"/>
      <c r="I283" s="183">
        <f>+G283*H283</f>
        <v/>
      </c>
      <c r="J283" s="61" t="n"/>
      <c r="K283" s="61" t="n"/>
      <c r="L283" s="61" t="n"/>
      <c r="M283" s="61" t="n"/>
      <c r="N283" s="61" t="n"/>
      <c r="O283" s="61" t="n"/>
      <c r="P283" s="61" t="n"/>
    </row>
    <row r="284" ht="28.8" customHeight="1">
      <c r="B284" s="188" t="n"/>
      <c r="C284" s="188" t="n"/>
      <c r="D284" s="188" t="n"/>
      <c r="E284" s="188" t="n"/>
      <c r="F284" s="188" t="n"/>
      <c r="G284" s="94" t="n">
        <v>1</v>
      </c>
      <c r="H284" s="190" t="n"/>
      <c r="I284" s="183">
        <f>+G284*H284</f>
        <v/>
      </c>
      <c r="J284" s="61" t="n"/>
      <c r="K284" s="61" t="n"/>
      <c r="L284" s="61" t="n"/>
      <c r="M284" s="61" t="n"/>
      <c r="N284" s="61" t="n"/>
      <c r="O284" s="61" t="n"/>
      <c r="P284" s="61" t="n"/>
    </row>
    <row r="285" ht="28.8" customHeight="1">
      <c r="B285" s="188" t="n"/>
      <c r="C285" s="188" t="n"/>
      <c r="D285" s="188" t="n"/>
      <c r="E285" s="188" t="n"/>
      <c r="F285" s="188" t="n"/>
      <c r="G285" s="94" t="n">
        <v>1</v>
      </c>
      <c r="H285" s="190" t="n"/>
      <c r="I285" s="183">
        <f>+G285*H285</f>
        <v/>
      </c>
      <c r="J285" s="61" t="n"/>
      <c r="K285" s="61" t="n"/>
      <c r="L285" s="61" t="n"/>
      <c r="M285" s="61" t="n"/>
      <c r="N285" s="61" t="n"/>
      <c r="O285" s="61" t="n"/>
      <c r="P285" s="61" t="n"/>
    </row>
    <row r="286" ht="28.8" customHeight="1">
      <c r="B286" s="188" t="n"/>
      <c r="C286" s="188" t="n"/>
      <c r="D286" s="188" t="n"/>
      <c r="E286" s="188" t="n"/>
      <c r="F286" s="188" t="n"/>
      <c r="G286" s="94" t="n">
        <v>1</v>
      </c>
      <c r="H286" s="190" t="n"/>
      <c r="I286" s="183">
        <f>+G286*H286</f>
        <v/>
      </c>
      <c r="J286" s="61" t="n"/>
      <c r="K286" s="61" t="n"/>
      <c r="L286" s="61" t="n"/>
      <c r="M286" s="61" t="n"/>
      <c r="N286" s="61" t="n"/>
      <c r="O286" s="61" t="n"/>
      <c r="P286" s="61" t="n"/>
    </row>
    <row r="287" ht="28.8" customHeight="1">
      <c r="B287" s="188" t="n"/>
      <c r="C287" s="188" t="n"/>
      <c r="D287" s="188" t="n"/>
      <c r="E287" s="188" t="n"/>
      <c r="F287" s="188" t="n"/>
      <c r="G287" s="94" t="n">
        <v>1</v>
      </c>
      <c r="H287" s="190" t="n"/>
      <c r="I287" s="183">
        <f>+G287*H287</f>
        <v/>
      </c>
      <c r="J287" s="61" t="n"/>
      <c r="K287" s="61" t="n"/>
      <c r="L287" s="61" t="n"/>
      <c r="M287" s="61" t="n"/>
      <c r="N287" s="61" t="n"/>
      <c r="O287" s="61" t="n"/>
      <c r="P287" s="61" t="n"/>
    </row>
    <row r="288" ht="28.8" customHeight="1">
      <c r="B288" s="188" t="n"/>
      <c r="C288" s="185" t="n"/>
      <c r="D288" s="188" t="n"/>
      <c r="E288" s="185" t="n"/>
      <c r="F288" s="185" t="n"/>
      <c r="G288" s="94" t="n">
        <v>1</v>
      </c>
      <c r="H288" s="190" t="n"/>
      <c r="I288" s="183">
        <f>+G288*H288</f>
        <v/>
      </c>
      <c r="J288" s="61" t="n"/>
      <c r="K288" s="61" t="n"/>
      <c r="L288" s="61" t="n"/>
      <c r="M288" s="61" t="n"/>
      <c r="N288" s="61" t="n"/>
      <c r="O288" s="61" t="n"/>
      <c r="P288" s="61" t="n"/>
    </row>
    <row r="289" ht="28.8" customHeight="1">
      <c r="B289" s="90" t="n">
        <v>46082</v>
      </c>
      <c r="C289" s="61" t="n">
        <v>157</v>
      </c>
      <c r="D289" s="100" t="inlineStr">
        <is>
          <t>DUVAR VE HATIL İMALATLARININ CEPHE KENARINDA YAPILAN ÇALIŞMALARINDA İŞ GÜVENLİĞİ ÖNLEMLERİNİ ALMAK AMACIYLA GÖZCÜ YÖNLENDİRİLMİŞTİR.</t>
        </is>
      </c>
      <c r="E289" s="61" t="inlineStr">
        <is>
          <t>MEHMET ARTOK (DÜZ İŞÇİ)
EROL TUNA (DÜZ İŞÇİ)
MEHMET ARTOK (DÜZ İŞÇİ)
EROL TUNA (DÜZ İŞÇİ)
EROL TUNA (DÜZ İŞÇİ)
MEHMET ARTOK (DÜZ İŞÇİ)
MUSA CAN (USTA)
İBRAHİM MENCİK (USTA)
BAYRAM YÜKSEK (USTA)
İLYAS ŞIK (USTA)
MEHMET ARTOK (DÜZ İŞÇİ)
SİRACETTİN ÖZLÜK (USTA)
YUSUF SOYSAL (USTA)
MEHMET ARTOK (DÜZ İŞÇİ)
BAYRAM YÜKSEK (USTA)
SİRACETTİN ÖZLÜK (USTA)
YUSUF SOYSAL (USTA)
EJDER ALMALI (USTA YARDIMCISI)
EJDER ALMALI (USTA YARDIMCISI)</t>
        </is>
      </c>
      <c r="F289" s="61" t="inlineStr">
        <is>
          <t>yevmiye</t>
        </is>
      </c>
      <c r="G289" s="94" t="n">
        <v>1</v>
      </c>
      <c r="H289" s="190" t="n"/>
      <c r="I289" s="183">
        <f>+G289*H289</f>
        <v/>
      </c>
      <c r="J289" s="61" t="n"/>
      <c r="K289" s="61" t="n"/>
      <c r="L289" s="61" t="n"/>
      <c r="M289" s="61" t="n"/>
      <c r="N289" s="61" t="n"/>
      <c r="O289" s="61" t="n"/>
      <c r="P289" s="61" t="n"/>
    </row>
    <row r="290" ht="28.8" customHeight="1">
      <c r="B290" s="188" t="n"/>
      <c r="C290" s="188" t="n"/>
      <c r="D290" s="188" t="n"/>
      <c r="E290" s="188" t="n"/>
      <c r="F290" s="188" t="n"/>
      <c r="G290" s="94" t="n">
        <v>1</v>
      </c>
      <c r="H290" s="190" t="n"/>
      <c r="I290" s="183">
        <f>+G290*H290</f>
        <v/>
      </c>
      <c r="J290" s="61" t="n"/>
      <c r="K290" s="61" t="n"/>
      <c r="L290" s="61" t="n"/>
      <c r="M290" s="61" t="n"/>
      <c r="N290" s="61" t="n"/>
      <c r="O290" s="61" t="n"/>
      <c r="P290" s="61" t="n"/>
    </row>
    <row r="291" ht="28.8" customHeight="1">
      <c r="B291" s="188" t="n"/>
      <c r="C291" s="188" t="n"/>
      <c r="D291" s="188" t="n"/>
      <c r="E291" s="188" t="n"/>
      <c r="F291" s="188" t="n"/>
      <c r="G291" s="94" t="n">
        <v>1</v>
      </c>
      <c r="H291" s="190" t="n"/>
      <c r="I291" s="183">
        <f>+G291*H291</f>
        <v/>
      </c>
      <c r="J291" s="61" t="n"/>
      <c r="K291" s="61" t="n"/>
      <c r="L291" s="61" t="n"/>
      <c r="M291" s="61" t="n"/>
      <c r="N291" s="61" t="n"/>
      <c r="O291" s="61" t="n"/>
      <c r="P291" s="61" t="n"/>
    </row>
    <row r="292" ht="28.8" customHeight="1">
      <c r="B292" s="188" t="n"/>
      <c r="C292" s="188" t="n"/>
      <c r="D292" s="188" t="n"/>
      <c r="E292" s="188" t="n"/>
      <c r="F292" s="188" t="n"/>
      <c r="G292" s="94" t="n">
        <v>1</v>
      </c>
      <c r="H292" s="190" t="n"/>
      <c r="I292" s="183">
        <f>+G292*H292</f>
        <v/>
      </c>
      <c r="J292" s="61" t="n"/>
      <c r="K292" s="61" t="n"/>
      <c r="L292" s="61" t="n"/>
      <c r="M292" s="61" t="n"/>
      <c r="N292" s="61" t="n"/>
      <c r="O292" s="61" t="n"/>
      <c r="P292" s="61" t="n"/>
    </row>
    <row r="293" ht="28.8" customHeight="1">
      <c r="B293" s="188" t="n"/>
      <c r="C293" s="188" t="n"/>
      <c r="D293" s="188" t="n"/>
      <c r="E293" s="188" t="n"/>
      <c r="F293" s="188" t="n"/>
      <c r="G293" s="94" t="n">
        <v>1</v>
      </c>
      <c r="H293" s="190" t="n"/>
      <c r="I293" s="183">
        <f>+G293*H293</f>
        <v/>
      </c>
      <c r="J293" s="61" t="n"/>
      <c r="K293" s="61" t="n"/>
      <c r="L293" s="61" t="n"/>
      <c r="M293" s="61" t="n"/>
      <c r="N293" s="61" t="n"/>
      <c r="O293" s="61" t="n"/>
      <c r="P293" s="61" t="n"/>
    </row>
    <row r="294" ht="28.8" customHeight="1">
      <c r="B294" s="188" t="n"/>
      <c r="C294" s="188" t="n"/>
      <c r="D294" s="188" t="n"/>
      <c r="E294" s="188" t="n"/>
      <c r="F294" s="188" t="n"/>
      <c r="G294" s="94" t="n">
        <v>1</v>
      </c>
      <c r="H294" s="190" t="n"/>
      <c r="I294" s="183">
        <f>+G294*H294</f>
        <v/>
      </c>
      <c r="J294" s="61" t="n"/>
      <c r="K294" s="61" t="n"/>
      <c r="L294" s="61" t="n"/>
      <c r="M294" s="61" t="n"/>
      <c r="N294" s="61" t="n"/>
      <c r="O294" s="61" t="n"/>
      <c r="P294" s="61" t="n"/>
    </row>
    <row r="295" ht="28.8" customHeight="1">
      <c r="B295" s="188" t="n"/>
      <c r="C295" s="188" t="n"/>
      <c r="D295" s="188" t="n"/>
      <c r="E295" s="188" t="n"/>
      <c r="F295" s="188" t="n"/>
      <c r="G295" s="94" t="n">
        <v>1</v>
      </c>
      <c r="H295" s="190" t="n"/>
      <c r="I295" s="183">
        <f>+G295*H295</f>
        <v/>
      </c>
      <c r="J295" s="61" t="n"/>
      <c r="K295" s="61" t="n"/>
      <c r="L295" s="61" t="n"/>
      <c r="M295" s="61" t="n"/>
      <c r="N295" s="61" t="n"/>
      <c r="O295" s="61" t="n"/>
      <c r="P295" s="61" t="n"/>
    </row>
    <row r="296" ht="28.8" customHeight="1">
      <c r="B296" s="188" t="n"/>
      <c r="C296" s="188" t="n"/>
      <c r="D296" s="188" t="n"/>
      <c r="E296" s="188" t="n"/>
      <c r="F296" s="188" t="n"/>
      <c r="G296" s="94" t="n">
        <v>1</v>
      </c>
      <c r="H296" s="190" t="n"/>
      <c r="I296" s="183">
        <f>+G296*H296</f>
        <v/>
      </c>
      <c r="J296" s="61" t="n"/>
      <c r="K296" s="61" t="n"/>
      <c r="L296" s="61" t="n"/>
      <c r="M296" s="61" t="n"/>
      <c r="N296" s="61" t="n"/>
      <c r="O296" s="61" t="n"/>
      <c r="P296" s="61" t="n"/>
    </row>
    <row r="297" ht="28.8" customHeight="1">
      <c r="B297" s="188" t="n"/>
      <c r="C297" s="188" t="n"/>
      <c r="D297" s="188" t="n"/>
      <c r="E297" s="188" t="n"/>
      <c r="F297" s="188" t="n"/>
      <c r="G297" s="94" t="n">
        <v>1</v>
      </c>
      <c r="H297" s="190" t="n"/>
      <c r="I297" s="183">
        <f>+G297*H297</f>
        <v/>
      </c>
      <c r="J297" s="61" t="n"/>
      <c r="K297" s="61" t="n"/>
      <c r="L297" s="61" t="n"/>
      <c r="M297" s="61" t="n"/>
      <c r="N297" s="61" t="n"/>
      <c r="O297" s="61" t="n"/>
      <c r="P297" s="61" t="n"/>
    </row>
    <row r="298" ht="28.8" customHeight="1">
      <c r="B298" s="188" t="n"/>
      <c r="C298" s="188" t="n"/>
      <c r="D298" s="188" t="n"/>
      <c r="E298" s="188" t="n"/>
      <c r="F298" s="188" t="n"/>
      <c r="G298" s="94" t="n">
        <v>1</v>
      </c>
      <c r="H298" s="190" t="n"/>
      <c r="I298" s="183">
        <f>+G298*H298</f>
        <v/>
      </c>
      <c r="J298" s="61" t="n"/>
      <c r="K298" s="61" t="n"/>
      <c r="L298" s="61" t="n"/>
      <c r="M298" s="61" t="n"/>
      <c r="N298" s="61" t="n"/>
      <c r="O298" s="61" t="n"/>
      <c r="P298" s="61" t="n"/>
    </row>
    <row r="299" ht="28.8" customHeight="1">
      <c r="B299" s="188" t="n"/>
      <c r="C299" s="188" t="n"/>
      <c r="D299" s="188" t="n"/>
      <c r="E299" s="188" t="n"/>
      <c r="F299" s="188" t="n"/>
      <c r="G299" s="94" t="n">
        <v>1</v>
      </c>
      <c r="H299" s="190" t="n"/>
      <c r="I299" s="183">
        <f>+G299*H299</f>
        <v/>
      </c>
      <c r="J299" s="61" t="n"/>
      <c r="K299" s="61" t="n"/>
      <c r="L299" s="61" t="n"/>
      <c r="M299" s="61" t="n"/>
      <c r="N299" s="61" t="n"/>
      <c r="O299" s="61" t="n"/>
      <c r="P299" s="61" t="n"/>
    </row>
    <row r="300" ht="28.8" customHeight="1">
      <c r="B300" s="188" t="n"/>
      <c r="C300" s="188" t="n"/>
      <c r="D300" s="188" t="n"/>
      <c r="E300" s="188" t="n"/>
      <c r="F300" s="188" t="n"/>
      <c r="G300" s="94" t="n">
        <v>1</v>
      </c>
      <c r="H300" s="190" t="n"/>
      <c r="I300" s="183">
        <f>+G300*H300</f>
        <v/>
      </c>
      <c r="J300" s="61" t="n"/>
      <c r="K300" s="61" t="n"/>
      <c r="L300" s="61" t="n"/>
      <c r="M300" s="61" t="n"/>
      <c r="N300" s="61" t="n"/>
      <c r="O300" s="61" t="n"/>
      <c r="P300" s="61" t="n"/>
    </row>
    <row r="301" ht="28.8" customHeight="1">
      <c r="B301" s="188" t="n"/>
      <c r="C301" s="188" t="n"/>
      <c r="D301" s="188" t="n"/>
      <c r="E301" s="188" t="n"/>
      <c r="F301" s="188" t="n"/>
      <c r="G301" s="94" t="n">
        <v>1</v>
      </c>
      <c r="H301" s="190" t="n"/>
      <c r="I301" s="183">
        <f>+G301*H301</f>
        <v/>
      </c>
      <c r="J301" s="61" t="n"/>
      <c r="K301" s="61" t="n"/>
      <c r="L301" s="61" t="n"/>
      <c r="M301" s="61" t="n"/>
      <c r="N301" s="61" t="n"/>
      <c r="O301" s="61" t="n"/>
      <c r="P301" s="61" t="n"/>
    </row>
    <row r="302" ht="28.8" customHeight="1">
      <c r="B302" s="188" t="n"/>
      <c r="C302" s="188" t="n"/>
      <c r="D302" s="188" t="n"/>
      <c r="E302" s="188" t="n"/>
      <c r="F302" s="188" t="n"/>
      <c r="G302" s="94" t="n">
        <v>1</v>
      </c>
      <c r="H302" s="190" t="n"/>
      <c r="I302" s="183">
        <f>+G302*H302</f>
        <v/>
      </c>
      <c r="J302" s="61" t="n"/>
      <c r="K302" s="61" t="n"/>
      <c r="L302" s="61" t="n"/>
      <c r="M302" s="61" t="n"/>
      <c r="N302" s="61" t="n"/>
      <c r="O302" s="61" t="n"/>
      <c r="P302" s="61" t="n"/>
    </row>
    <row r="303" ht="28.8" customHeight="1">
      <c r="B303" s="188" t="n"/>
      <c r="C303" s="188" t="n"/>
      <c r="D303" s="188" t="n"/>
      <c r="E303" s="188" t="n"/>
      <c r="F303" s="188" t="n"/>
      <c r="G303" s="94" t="n">
        <v>1</v>
      </c>
      <c r="H303" s="190" t="n"/>
      <c r="I303" s="183">
        <f>+G303*H303</f>
        <v/>
      </c>
      <c r="J303" s="61" t="n"/>
      <c r="K303" s="61" t="n"/>
      <c r="L303" s="61" t="n"/>
      <c r="M303" s="61" t="n"/>
      <c r="N303" s="61" t="n"/>
      <c r="O303" s="61" t="n"/>
      <c r="P303" s="61" t="n"/>
    </row>
    <row r="304" ht="28.8" customHeight="1">
      <c r="B304" s="188" t="n"/>
      <c r="C304" s="188" t="n"/>
      <c r="D304" s="188" t="n"/>
      <c r="E304" s="188" t="n"/>
      <c r="F304" s="188" t="n"/>
      <c r="G304" s="94" t="n">
        <v>1</v>
      </c>
      <c r="H304" s="190" t="n"/>
      <c r="I304" s="183">
        <f>+G304*H304</f>
        <v/>
      </c>
      <c r="J304" s="61" t="n"/>
      <c r="K304" s="61" t="n"/>
      <c r="L304" s="61" t="n"/>
      <c r="M304" s="61" t="n"/>
      <c r="N304" s="61" t="n"/>
      <c r="O304" s="61" t="n"/>
      <c r="P304" s="61" t="n"/>
    </row>
    <row r="305" ht="28.8" customHeight="1">
      <c r="B305" s="188" t="n"/>
      <c r="C305" s="188" t="n"/>
      <c r="D305" s="188" t="n"/>
      <c r="E305" s="188" t="n"/>
      <c r="F305" s="188" t="n"/>
      <c r="G305" s="94" t="n">
        <v>1</v>
      </c>
      <c r="H305" s="190" t="n"/>
      <c r="I305" s="183">
        <f>+G305*H305</f>
        <v/>
      </c>
      <c r="J305" s="61" t="n"/>
      <c r="K305" s="61" t="n"/>
      <c r="L305" s="61" t="n"/>
      <c r="M305" s="61" t="n"/>
      <c r="N305" s="61" t="n"/>
      <c r="O305" s="61" t="n"/>
      <c r="P305" s="61" t="n"/>
    </row>
    <row r="306" ht="28.8" customHeight="1">
      <c r="B306" s="188" t="n"/>
      <c r="C306" s="188" t="n"/>
      <c r="D306" s="188" t="n"/>
      <c r="E306" s="188" t="n"/>
      <c r="F306" s="188" t="n"/>
      <c r="G306" s="94" t="n">
        <v>1</v>
      </c>
      <c r="H306" s="190" t="n"/>
      <c r="I306" s="183">
        <f>+G306*H306</f>
        <v/>
      </c>
      <c r="J306" s="61" t="n"/>
      <c r="K306" s="61" t="n"/>
      <c r="L306" s="61" t="n"/>
      <c r="M306" s="61" t="n"/>
      <c r="N306" s="61" t="n"/>
      <c r="O306" s="61" t="n"/>
      <c r="P306" s="61" t="n"/>
    </row>
    <row r="307" ht="28.8" customHeight="1">
      <c r="B307" s="188" t="n"/>
      <c r="C307" s="185" t="n"/>
      <c r="D307" s="188" t="n"/>
      <c r="E307" s="185" t="n"/>
      <c r="F307" s="185" t="n"/>
      <c r="G307" s="94" t="n">
        <v>1</v>
      </c>
      <c r="H307" s="190" t="n"/>
      <c r="I307" s="183">
        <f>+G307*H307</f>
        <v/>
      </c>
      <c r="J307" s="61" t="n"/>
      <c r="K307" s="61" t="n"/>
      <c r="L307" s="61" t="n"/>
      <c r="M307" s="61" t="n"/>
      <c r="N307" s="61" t="n"/>
      <c r="O307" s="61" t="n"/>
      <c r="P307" s="61" t="n"/>
    </row>
    <row r="308" ht="28.8" customHeight="1">
      <c r="B308" s="90" t="n">
        <v>46113</v>
      </c>
      <c r="C308" s="61" t="n">
        <v>158</v>
      </c>
      <c r="D308" s="100" t="inlineStr">
        <is>
          <t>DUVAR VE HATIL İMALATLARININ CEPHE KENARINDA YAPILAN ÇALIŞMALARINDA İŞ GÜVENLİĞİ ÖNLEMLERİNİ ALMAK AMACIYLA GÖZCÜ YÖNLENDİRİLMİŞTİR.</t>
        </is>
      </c>
      <c r="E308" s="61" t="inlineStr">
        <is>
          <t>BARIŞ ÇELİK (USTA)
MUSA CAN (USTA)
EROL TUNA (DÜZ İŞÇİ)
BAYRAM YÜKSEK (USTA)
ÖZGÜR AY (USTA)
YUSUF SOYASL (USTA)
BARIŞ ÇELİK (USTA)
MUSA CAN (USTA)
EROL TUNA (DÜZ İŞÇİ)
MUSA CAN (USTA)
BARIŞ ÇELİK (USTA)
ÖZGÜR AY (USTA)
MUSA CAN (USTA)
EROL TUNA (DÜZ İŞÇİ)
BAYRAM YÜKSEK (USTA)
ÖZGÜR AY (USTA)
MUSA CAN (USTA)
EROL TUNA (DÜZ İŞÇİ)
MUSA CAN (USTA)
BARIŞ ÇELİK (USTA)
MUSA CAN (USTA)
EROL TUNA (DÜZ İŞÇİ)</t>
        </is>
      </c>
      <c r="F308" s="61" t="inlineStr">
        <is>
          <t>yevmiye</t>
        </is>
      </c>
      <c r="G308" s="94" t="n">
        <v>1</v>
      </c>
      <c r="H308" s="190" t="n"/>
      <c r="I308" s="183">
        <f>+G308*H308</f>
        <v/>
      </c>
      <c r="J308" s="61" t="n"/>
      <c r="K308" s="61" t="n"/>
      <c r="L308" s="61" t="n"/>
      <c r="M308" s="61" t="n"/>
      <c r="N308" s="61" t="n"/>
      <c r="O308" s="61" t="n"/>
      <c r="P308" s="61" t="n"/>
    </row>
    <row r="309" ht="28.8" customHeight="1">
      <c r="B309" s="188" t="n"/>
      <c r="C309" s="188" t="n"/>
      <c r="D309" s="188" t="n"/>
      <c r="E309" s="188" t="n"/>
      <c r="F309" s="188" t="n"/>
      <c r="G309" s="94" t="n">
        <v>1</v>
      </c>
      <c r="H309" s="190" t="n"/>
      <c r="I309" s="183">
        <f>+G309*H309</f>
        <v/>
      </c>
      <c r="J309" s="61" t="n"/>
      <c r="K309" s="61" t="n"/>
      <c r="L309" s="61" t="n"/>
      <c r="M309" s="61" t="n"/>
      <c r="N309" s="61" t="n"/>
      <c r="O309" s="61" t="n"/>
      <c r="P309" s="61" t="n"/>
    </row>
    <row r="310" ht="28.8" customHeight="1">
      <c r="B310" s="188" t="n"/>
      <c r="C310" s="188" t="n"/>
      <c r="D310" s="188" t="n"/>
      <c r="E310" s="188" t="n"/>
      <c r="F310" s="188" t="n"/>
      <c r="G310" s="94" t="n">
        <v>1</v>
      </c>
      <c r="H310" s="190" t="n"/>
      <c r="I310" s="183">
        <f>+G310*H310</f>
        <v/>
      </c>
      <c r="J310" s="61" t="n"/>
      <c r="K310" s="61" t="n"/>
      <c r="L310" s="61" t="n"/>
      <c r="M310" s="61" t="n"/>
      <c r="N310" s="61" t="n"/>
      <c r="O310" s="61" t="n"/>
      <c r="P310" s="61" t="n"/>
    </row>
    <row r="311" ht="28.8" customHeight="1">
      <c r="B311" s="188" t="n"/>
      <c r="C311" s="188" t="n"/>
      <c r="D311" s="188" t="n"/>
      <c r="E311" s="188" t="n"/>
      <c r="F311" s="188" t="n"/>
      <c r="G311" s="94" t="n">
        <v>1</v>
      </c>
      <c r="H311" s="190" t="n"/>
      <c r="I311" s="183">
        <f>+G311*H311</f>
        <v/>
      </c>
      <c r="J311" s="61" t="n"/>
      <c r="K311" s="61" t="n"/>
      <c r="L311" s="61" t="n"/>
      <c r="M311" s="61" t="n"/>
      <c r="N311" s="61" t="n"/>
      <c r="O311" s="61" t="n"/>
      <c r="P311" s="61" t="n"/>
    </row>
    <row r="312" ht="28.8" customHeight="1">
      <c r="B312" s="188" t="n"/>
      <c r="C312" s="188" t="n"/>
      <c r="D312" s="188" t="n"/>
      <c r="E312" s="188" t="n"/>
      <c r="F312" s="188" t="n"/>
      <c r="G312" s="94" t="n">
        <v>1</v>
      </c>
      <c r="H312" s="190" t="n"/>
      <c r="I312" s="183">
        <f>+G312*H312</f>
        <v/>
      </c>
      <c r="J312" s="61" t="n"/>
      <c r="K312" s="61" t="n"/>
      <c r="L312" s="61" t="n"/>
      <c r="M312" s="61" t="n"/>
      <c r="N312" s="61" t="n"/>
      <c r="O312" s="61" t="n"/>
      <c r="P312" s="61" t="n"/>
    </row>
    <row r="313" ht="28.8" customHeight="1">
      <c r="B313" s="188" t="n"/>
      <c r="C313" s="188" t="n"/>
      <c r="D313" s="188" t="n"/>
      <c r="E313" s="188" t="n"/>
      <c r="F313" s="188" t="n"/>
      <c r="G313" s="94" t="n">
        <v>1</v>
      </c>
      <c r="H313" s="190" t="n"/>
      <c r="I313" s="183">
        <f>+G313*H313</f>
        <v/>
      </c>
      <c r="J313" s="61" t="n"/>
      <c r="K313" s="61" t="n"/>
      <c r="L313" s="61" t="n"/>
      <c r="M313" s="61" t="n"/>
      <c r="N313" s="61" t="n"/>
      <c r="O313" s="61" t="n"/>
      <c r="P313" s="61" t="n"/>
    </row>
    <row r="314" ht="28.8" customHeight="1">
      <c r="B314" s="188" t="n"/>
      <c r="C314" s="188" t="n"/>
      <c r="D314" s="188" t="n"/>
      <c r="E314" s="188" t="n"/>
      <c r="F314" s="188" t="n"/>
      <c r="G314" s="94" t="n">
        <v>1</v>
      </c>
      <c r="H314" s="190" t="n"/>
      <c r="I314" s="183">
        <f>+G314*H314</f>
        <v/>
      </c>
      <c r="J314" s="61" t="n"/>
      <c r="K314" s="61" t="n"/>
      <c r="L314" s="61" t="n"/>
      <c r="M314" s="61" t="n"/>
      <c r="N314" s="61" t="n"/>
      <c r="O314" s="61" t="n"/>
      <c r="P314" s="61" t="n"/>
    </row>
    <row r="315" ht="28.8" customHeight="1">
      <c r="B315" s="188" t="n"/>
      <c r="C315" s="188" t="n"/>
      <c r="D315" s="188" t="n"/>
      <c r="E315" s="188" t="n"/>
      <c r="F315" s="188" t="n"/>
      <c r="G315" s="94" t="n">
        <v>1</v>
      </c>
      <c r="H315" s="190" t="n"/>
      <c r="I315" s="183">
        <f>+G315*H315</f>
        <v/>
      </c>
      <c r="J315" s="61" t="n"/>
      <c r="K315" s="61" t="n"/>
      <c r="L315" s="61" t="n"/>
      <c r="M315" s="61" t="n"/>
      <c r="N315" s="61" t="n"/>
      <c r="O315" s="61" t="n"/>
      <c r="P315" s="61" t="n"/>
    </row>
    <row r="316" ht="28.8" customHeight="1">
      <c r="B316" s="188" t="n"/>
      <c r="C316" s="188" t="n"/>
      <c r="D316" s="188" t="n"/>
      <c r="E316" s="188" t="n"/>
      <c r="F316" s="188" t="n"/>
      <c r="G316" s="94" t="n">
        <v>1</v>
      </c>
      <c r="H316" s="190" t="n"/>
      <c r="I316" s="183">
        <f>+G316*H316</f>
        <v/>
      </c>
      <c r="J316" s="61" t="n"/>
      <c r="K316" s="61" t="n"/>
      <c r="L316" s="61" t="n"/>
      <c r="M316" s="61" t="n"/>
      <c r="N316" s="61" t="n"/>
      <c r="O316" s="61" t="n"/>
      <c r="P316" s="61" t="n"/>
    </row>
    <row r="317" ht="28.8" customHeight="1">
      <c r="B317" s="188" t="n"/>
      <c r="C317" s="188" t="n"/>
      <c r="D317" s="188" t="n"/>
      <c r="E317" s="188" t="n"/>
      <c r="F317" s="188" t="n"/>
      <c r="G317" s="94" t="n">
        <v>1</v>
      </c>
      <c r="H317" s="190" t="n"/>
      <c r="I317" s="183">
        <f>+G317*H317</f>
        <v/>
      </c>
      <c r="J317" s="61" t="n"/>
      <c r="K317" s="61" t="n"/>
      <c r="L317" s="61" t="n"/>
      <c r="M317" s="61" t="n"/>
      <c r="N317" s="61" t="n"/>
      <c r="O317" s="61" t="n"/>
      <c r="P317" s="61" t="n"/>
    </row>
    <row r="318" ht="28.8" customHeight="1">
      <c r="B318" s="188" t="n"/>
      <c r="C318" s="188" t="n"/>
      <c r="D318" s="188" t="n"/>
      <c r="E318" s="188" t="n"/>
      <c r="F318" s="188" t="n"/>
      <c r="G318" s="94" t="n">
        <v>1</v>
      </c>
      <c r="H318" s="190" t="n"/>
      <c r="I318" s="183">
        <f>+G318*H318</f>
        <v/>
      </c>
      <c r="J318" s="61" t="n"/>
      <c r="K318" s="61" t="n"/>
      <c r="L318" s="61" t="n"/>
      <c r="M318" s="61" t="n"/>
      <c r="N318" s="61" t="n"/>
      <c r="O318" s="61" t="n"/>
      <c r="P318" s="61" t="n"/>
    </row>
    <row r="319" ht="28.8" customHeight="1">
      <c r="B319" s="188" t="n"/>
      <c r="C319" s="188" t="n"/>
      <c r="D319" s="188" t="n"/>
      <c r="E319" s="188" t="n"/>
      <c r="F319" s="188" t="n"/>
      <c r="G319" s="94" t="n">
        <v>1</v>
      </c>
      <c r="H319" s="190" t="n"/>
      <c r="I319" s="183">
        <f>+G319*H319</f>
        <v/>
      </c>
      <c r="J319" s="61" t="n"/>
      <c r="K319" s="61" t="n"/>
      <c r="L319" s="61" t="n"/>
      <c r="M319" s="61" t="n"/>
      <c r="N319" s="61" t="n"/>
      <c r="O319" s="61" t="n"/>
      <c r="P319" s="61" t="n"/>
    </row>
    <row r="320" ht="28.8" customHeight="1">
      <c r="B320" s="188" t="n"/>
      <c r="C320" s="188" t="n"/>
      <c r="D320" s="188" t="n"/>
      <c r="E320" s="188" t="n"/>
      <c r="F320" s="188" t="n"/>
      <c r="G320" s="94" t="n">
        <v>1</v>
      </c>
      <c r="H320" s="190" t="n"/>
      <c r="I320" s="183">
        <f>+G320*H320</f>
        <v/>
      </c>
      <c r="J320" s="61" t="n"/>
      <c r="K320" s="61" t="n"/>
      <c r="L320" s="61" t="n"/>
      <c r="M320" s="61" t="n"/>
      <c r="N320" s="61" t="n"/>
      <c r="O320" s="61" t="n"/>
      <c r="P320" s="61" t="n"/>
    </row>
    <row r="321" ht="28.8" customHeight="1">
      <c r="B321" s="188" t="n"/>
      <c r="C321" s="188" t="n"/>
      <c r="D321" s="188" t="n"/>
      <c r="E321" s="188" t="n"/>
      <c r="F321" s="188" t="n"/>
      <c r="G321" s="94" t="n">
        <v>1</v>
      </c>
      <c r="H321" s="190" t="n"/>
      <c r="I321" s="183">
        <f>+G321*H321</f>
        <v/>
      </c>
      <c r="J321" s="61" t="n"/>
      <c r="K321" s="61" t="n"/>
      <c r="L321" s="61" t="n"/>
      <c r="M321" s="61" t="n"/>
      <c r="N321" s="61" t="n"/>
      <c r="O321" s="61" t="n"/>
      <c r="P321" s="61" t="n"/>
    </row>
    <row r="322" ht="28.8" customHeight="1">
      <c r="B322" s="188" t="n"/>
      <c r="C322" s="188" t="n"/>
      <c r="D322" s="188" t="n"/>
      <c r="E322" s="188" t="n"/>
      <c r="F322" s="188" t="n"/>
      <c r="G322" s="94" t="n">
        <v>1</v>
      </c>
      <c r="H322" s="190" t="n"/>
      <c r="I322" s="183">
        <f>+G322*H322</f>
        <v/>
      </c>
      <c r="J322" s="61" t="n"/>
      <c r="K322" s="61" t="n"/>
      <c r="L322" s="61" t="n"/>
      <c r="M322" s="61" t="n"/>
      <c r="N322" s="61" t="n"/>
      <c r="O322" s="61" t="n"/>
      <c r="P322" s="61" t="n"/>
    </row>
    <row r="323" ht="28.8" customHeight="1">
      <c r="B323" s="188" t="n"/>
      <c r="C323" s="188" t="n"/>
      <c r="D323" s="188" t="n"/>
      <c r="E323" s="188" t="n"/>
      <c r="F323" s="188" t="n"/>
      <c r="G323" s="94" t="n">
        <v>1</v>
      </c>
      <c r="H323" s="190" t="n"/>
      <c r="I323" s="183">
        <f>+G323*H323</f>
        <v/>
      </c>
      <c r="J323" s="61" t="n"/>
      <c r="K323" s="61" t="n"/>
      <c r="L323" s="61" t="n"/>
      <c r="M323" s="61" t="n"/>
      <c r="N323" s="61" t="n"/>
      <c r="O323" s="61" t="n"/>
      <c r="P323" s="61" t="n"/>
    </row>
    <row r="324" ht="28.8" customHeight="1">
      <c r="B324" s="188" t="n"/>
      <c r="C324" s="188" t="n"/>
      <c r="D324" s="188" t="n"/>
      <c r="E324" s="188" t="n"/>
      <c r="F324" s="188" t="n"/>
      <c r="G324" s="94" t="n">
        <v>1</v>
      </c>
      <c r="H324" s="190" t="n"/>
      <c r="I324" s="183">
        <f>+G324*H324</f>
        <v/>
      </c>
      <c r="J324" s="61" t="n"/>
      <c r="K324" s="61" t="n"/>
      <c r="L324" s="61" t="n"/>
      <c r="M324" s="61" t="n"/>
      <c r="N324" s="61" t="n"/>
      <c r="O324" s="61" t="n"/>
      <c r="P324" s="61" t="n"/>
    </row>
    <row r="325" ht="28.8" customHeight="1">
      <c r="B325" s="188" t="n"/>
      <c r="C325" s="188" t="n"/>
      <c r="D325" s="188" t="n"/>
      <c r="E325" s="188" t="n"/>
      <c r="F325" s="188" t="n"/>
      <c r="G325" s="94" t="n">
        <v>1</v>
      </c>
      <c r="H325" s="190" t="n"/>
      <c r="I325" s="183">
        <f>+G325*H325</f>
        <v/>
      </c>
      <c r="J325" s="61" t="n"/>
      <c r="K325" s="61" t="n"/>
      <c r="L325" s="61" t="n"/>
      <c r="M325" s="61" t="n"/>
      <c r="N325" s="61" t="n"/>
      <c r="O325" s="61" t="n"/>
      <c r="P325" s="61" t="n"/>
    </row>
    <row r="326" ht="28.8" customHeight="1">
      <c r="B326" s="188" t="n"/>
      <c r="C326" s="188" t="n"/>
      <c r="D326" s="188" t="n"/>
      <c r="E326" s="188" t="n"/>
      <c r="F326" s="188" t="n"/>
      <c r="G326" s="94" t="n">
        <v>1</v>
      </c>
      <c r="H326" s="190" t="n"/>
      <c r="I326" s="183">
        <f>+G326*H326</f>
        <v/>
      </c>
      <c r="J326" s="61" t="n"/>
      <c r="K326" s="61" t="n"/>
      <c r="L326" s="61" t="n"/>
      <c r="M326" s="61" t="n"/>
      <c r="N326" s="61" t="n"/>
      <c r="O326" s="61" t="n"/>
      <c r="P326" s="61" t="n"/>
    </row>
    <row r="327" ht="28.8" customHeight="1">
      <c r="B327" s="188" t="n"/>
      <c r="C327" s="188" t="n"/>
      <c r="D327" s="188" t="n"/>
      <c r="E327" s="188" t="n"/>
      <c r="F327" s="188" t="n"/>
      <c r="G327" s="94" t="n">
        <v>1</v>
      </c>
      <c r="H327" s="190" t="n"/>
      <c r="I327" s="183">
        <f>+G327*H327</f>
        <v/>
      </c>
      <c r="J327" s="61" t="n"/>
      <c r="K327" s="61" t="n"/>
      <c r="L327" s="61" t="n"/>
      <c r="M327" s="61" t="n"/>
      <c r="N327" s="61" t="n"/>
      <c r="O327" s="61" t="n"/>
      <c r="P327" s="61" t="n"/>
    </row>
    <row r="328" ht="28.8" customHeight="1">
      <c r="B328" s="188" t="n"/>
      <c r="C328" s="188" t="n"/>
      <c r="D328" s="188" t="n"/>
      <c r="E328" s="188" t="n"/>
      <c r="F328" s="188" t="n"/>
      <c r="G328" s="94" t="n">
        <v>1</v>
      </c>
      <c r="H328" s="190" t="n"/>
      <c r="I328" s="183">
        <f>+G328*H328</f>
        <v/>
      </c>
      <c r="J328" s="61" t="n"/>
      <c r="K328" s="61" t="n"/>
      <c r="L328" s="61" t="n"/>
      <c r="M328" s="61" t="n"/>
      <c r="N328" s="61" t="n"/>
      <c r="O328" s="61" t="n"/>
      <c r="P328" s="61" t="n"/>
    </row>
    <row r="329" ht="28.8" customHeight="1">
      <c r="B329" s="188" t="n"/>
      <c r="C329" s="185" t="n"/>
      <c r="D329" s="188" t="n"/>
      <c r="E329" s="185" t="n"/>
      <c r="F329" s="185" t="n"/>
      <c r="G329" s="94" t="n">
        <v>1</v>
      </c>
      <c r="H329" s="190" t="n"/>
      <c r="I329" s="183">
        <f>+G329*H329</f>
        <v/>
      </c>
      <c r="J329" s="61" t="n"/>
      <c r="K329" s="61" t="n"/>
      <c r="L329" s="61" t="n"/>
      <c r="M329" s="61" t="n"/>
      <c r="N329" s="61" t="n"/>
      <c r="O329" s="61" t="n"/>
      <c r="P329" s="61" t="n"/>
    </row>
    <row r="330" ht="28.8" customHeight="1">
      <c r="B330" s="90" t="n">
        <v>45992</v>
      </c>
      <c r="C330" s="61" t="n">
        <v>159</v>
      </c>
      <c r="D330" s="100" t="inlineStr">
        <is>
          <t>DUVAR VE HATIL İMALATLARININ CEPHE KENARINDA YAPILAN ÇALIŞMALARINDA İŞ GÜVENLİĞİ ÖNLEMLERİNİ ALMAK AMACIYLA GÖZCÜ YÖNLENDİRİLMİŞTİR.</t>
        </is>
      </c>
      <c r="E330" s="61" t="inlineStr">
        <is>
          <t>6 Usta</t>
        </is>
      </c>
      <c r="F330" s="61" t="inlineStr">
        <is>
          <t>yevmiye</t>
        </is>
      </c>
      <c r="G330" s="94" t="n">
        <v>6</v>
      </c>
      <c r="H330" s="190" t="n"/>
      <c r="I330" s="183">
        <f>+G330*H330</f>
        <v/>
      </c>
      <c r="J330" s="61" t="n"/>
      <c r="K330" s="61" t="n"/>
      <c r="L330" s="61" t="n"/>
      <c r="M330" s="61" t="n"/>
      <c r="N330" s="61" t="n"/>
      <c r="O330" s="61" t="n"/>
      <c r="P330" s="61" t="n"/>
    </row>
    <row r="331" ht="28.8" customHeight="1">
      <c r="B331" s="90" t="n">
        <v>46190</v>
      </c>
      <c r="C331" s="61" t="n">
        <v>160</v>
      </c>
      <c r="D331" s="100" t="inlineStr">
        <is>
          <t>C5 Blok 0.20 kotu C-Z-227 ve C-Z-228 mahallerindeki alçıpan duvar hasar görmüştür. Hasar gören duvar sökülüp düzeltilmiştir.</t>
        </is>
      </c>
      <c r="E331" s="61" t="inlineStr">
        <is>
          <t>2 Usta
2 Usta Yard.</t>
        </is>
      </c>
      <c r="F331" s="61" t="inlineStr">
        <is>
          <t>yevmiye</t>
        </is>
      </c>
      <c r="G331" s="94" t="n">
        <v>2</v>
      </c>
      <c r="H331" s="190" t="n"/>
      <c r="I331" s="183">
        <f>+G331*H331</f>
        <v/>
      </c>
      <c r="J331" s="61" t="inlineStr">
        <is>
          <t>Suya Dayanıklı Alçıpan</t>
        </is>
      </c>
      <c r="K331" s="61" t="inlineStr">
        <is>
          <t>m²</t>
        </is>
      </c>
      <c r="L331" s="61" t="n">
        <v>54</v>
      </c>
      <c r="M331" s="61" t="n"/>
      <c r="N331" s="61" t="n"/>
      <c r="O331" s="61" t="n"/>
      <c r="P331" s="61" t="n"/>
    </row>
    <row r="332" ht="28.8" customHeight="1">
      <c r="B332" s="188" t="n"/>
      <c r="C332" s="185" t="n"/>
      <c r="D332" s="188" t="n"/>
      <c r="E332" s="185" t="n"/>
      <c r="F332" s="185" t="n"/>
      <c r="G332" s="94" t="n">
        <v>2</v>
      </c>
      <c r="H332" s="190" t="n"/>
      <c r="I332" s="183">
        <f>+G332*H332</f>
        <v/>
      </c>
      <c r="J332" s="61" t="n"/>
      <c r="K332" s="61" t="n"/>
      <c r="L332" s="61" t="n"/>
      <c r="M332" s="61" t="n"/>
      <c r="N332" s="61" t="n"/>
      <c r="O332" s="61" t="n"/>
      <c r="P332" s="61" t="n"/>
    </row>
    <row r="333" ht="28.8" customHeight="1">
      <c r="B333" s="90" t="n">
        <v>46191</v>
      </c>
      <c r="C333" s="61" t="n">
        <v>161</v>
      </c>
      <c r="D333" s="100" t="inlineStr">
        <is>
          <t>C5 Blokta alçıpan duvarlar hasar görmüştür. Hasar gören duvar sökülüp düzeltilmiştir.</t>
        </is>
      </c>
      <c r="E333" s="61" t="inlineStr">
        <is>
          <t>1 Usta
1 Usta Yard.</t>
        </is>
      </c>
      <c r="F333" s="61" t="inlineStr">
        <is>
          <t>yevmiye</t>
        </is>
      </c>
      <c r="G333" s="94" t="n">
        <v>1</v>
      </c>
      <c r="H333" s="190" t="n"/>
      <c r="I333" s="183">
        <f>+G333*H333</f>
        <v/>
      </c>
      <c r="J333" s="61" t="inlineStr">
        <is>
          <t>FX Ultra Alçıpan</t>
        </is>
      </c>
      <c r="K333" s="61" t="inlineStr">
        <is>
          <t>m²</t>
        </is>
      </c>
      <c r="L333" s="61" t="n">
        <v>17</v>
      </c>
      <c r="M333" s="61" t="n"/>
      <c r="N333" s="61" t="n"/>
      <c r="O333" s="61" t="n"/>
      <c r="P333" s="61" t="n"/>
    </row>
    <row r="334" ht="28.8" customHeight="1">
      <c r="B334" s="188" t="n"/>
      <c r="C334" s="185" t="n"/>
      <c r="D334" s="188" t="n"/>
      <c r="E334" s="185" t="n"/>
      <c r="F334" s="185" t="n"/>
      <c r="G334" s="94" t="n">
        <v>1</v>
      </c>
      <c r="H334" s="190" t="n"/>
      <c r="I334" s="183">
        <f>+G334*H334</f>
        <v/>
      </c>
      <c r="J334" s="61" t="n"/>
      <c r="K334" s="61" t="n"/>
      <c r="L334" s="61" t="n"/>
      <c r="M334" s="61" t="n"/>
      <c r="N334" s="61" t="n"/>
      <c r="O334" s="61" t="n"/>
      <c r="P334" s="61" t="n"/>
    </row>
    <row r="335" ht="28.8" customHeight="1">
      <c r="B335" s="90" t="n">
        <v>46192</v>
      </c>
      <c r="C335" s="61" t="n">
        <v>162</v>
      </c>
      <c r="D335" s="100" t="inlineStr">
        <is>
          <t>C3 Blok 5.20 kotunda, cephe boru bağlantısının yapılmamış olması nedeniyle mahale su almış, alçıpan duvarlar hasar görmüştür. Hasarlı duvarlar sökülerek onarılmıştır.</t>
        </is>
      </c>
      <c r="E335" s="61" t="inlineStr">
        <is>
          <t>1 Usta
1 Usta Yard.</t>
        </is>
      </c>
      <c r="F335" s="61" t="inlineStr">
        <is>
          <t>yevmiye</t>
        </is>
      </c>
      <c r="G335" s="94" t="n">
        <v>1</v>
      </c>
      <c r="H335" s="190" t="n"/>
      <c r="I335" s="183">
        <f>+G335*H335</f>
        <v/>
      </c>
      <c r="J335" s="61" t="inlineStr">
        <is>
          <t>FX Ultra Alçıpan</t>
        </is>
      </c>
      <c r="K335" s="61" t="inlineStr">
        <is>
          <t>m²</t>
        </is>
      </c>
      <c r="L335" s="61" t="n">
        <v>10</v>
      </c>
      <c r="M335" s="61" t="n"/>
      <c r="N335" s="61" t="n"/>
      <c r="O335" s="61" t="n"/>
      <c r="P335" s="61" t="n"/>
    </row>
    <row r="336" ht="28.8" customHeight="1">
      <c r="B336" s="188" t="n"/>
      <c r="C336" s="185" t="n"/>
      <c r="D336" s="188" t="n"/>
      <c r="E336" s="185" t="n"/>
      <c r="F336" s="185" t="n"/>
      <c r="G336" s="94" t="n">
        <v>1</v>
      </c>
      <c r="H336" s="190" t="n"/>
      <c r="I336" s="183">
        <f>+G336*H336</f>
        <v/>
      </c>
      <c r="J336" s="61" t="n"/>
      <c r="K336" s="61" t="n"/>
      <c r="L336" s="61" t="n"/>
      <c r="M336" s="61" t="n"/>
      <c r="N336" s="61" t="n"/>
      <c r="O336" s="61" t="n"/>
      <c r="P336" s="61" t="n"/>
    </row>
    <row r="337" ht="28.8" customHeight="1">
      <c r="B337" s="90" t="n">
        <v>46194</v>
      </c>
      <c r="C337" s="61" t="n">
        <v>163</v>
      </c>
      <c r="D337" s="100" t="inlineStr">
        <is>
          <t>C5 Blok 0.20 kotunda, C-Z-355/356/357/358/359/360 mahal numaralı hakim odalarında metal asma tavan karkas imalatı mekanik ve elektrik birimlerinin çalışması sonucu zarar görmüştür.</t>
        </is>
      </c>
      <c r="E337" s="61" t="inlineStr">
        <is>
          <t>2 Usta
2 Usta Yard.</t>
        </is>
      </c>
      <c r="F337" s="61" t="inlineStr">
        <is>
          <t>yevmiye</t>
        </is>
      </c>
      <c r="G337" s="94" t="n">
        <v>2</v>
      </c>
      <c r="H337" s="190" t="n"/>
      <c r="I337" s="183">
        <f>+G337*H337</f>
        <v/>
      </c>
      <c r="J337" s="61" t="n"/>
      <c r="K337" s="61" t="n"/>
      <c r="L337" s="61" t="n"/>
      <c r="M337" s="61" t="n"/>
      <c r="N337" s="61" t="n"/>
      <c r="O337" s="61" t="n"/>
      <c r="P337" s="61" t="n"/>
    </row>
    <row r="338" ht="28.8" customHeight="1">
      <c r="B338" s="188" t="n"/>
      <c r="C338" s="185" t="n"/>
      <c r="D338" s="188" t="n"/>
      <c r="E338" s="185" t="n"/>
      <c r="F338" s="185" t="n"/>
      <c r="G338" s="94" t="n">
        <v>2</v>
      </c>
      <c r="H338" s="190" t="n"/>
      <c r="I338" s="183">
        <f>+G338*H338</f>
        <v/>
      </c>
      <c r="J338" s="61" t="n"/>
      <c r="K338" s="61" t="n"/>
      <c r="L338" s="61" t="n"/>
      <c r="M338" s="61" t="n"/>
      <c r="N338" s="61" t="n"/>
      <c r="O338" s="61" t="n"/>
      <c r="P338" s="61" t="n"/>
    </row>
    <row r="339" ht="28.8" customHeight="1">
      <c r="B339" s="90" t="n">
        <v>46196</v>
      </c>
      <c r="C339" s="61" t="n">
        <v>164</v>
      </c>
      <c r="D339" s="100" t="inlineStr">
        <is>
          <t>C5 Blok 0.20 kotunda, alçıpan duvar ve saten alçı köşe çıtaları zarar görmüştür. Oluşan hasarlar tarafımızca düzeltilmiştir.</t>
        </is>
      </c>
      <c r="E339" s="61" t="inlineStr">
        <is>
          <t>1 Usta
1 Usta Yard.</t>
        </is>
      </c>
      <c r="F339" s="61" t="inlineStr">
        <is>
          <t>yevmiye</t>
        </is>
      </c>
      <c r="G339" s="94" t="n">
        <v>1</v>
      </c>
      <c r="H339" s="190" t="n"/>
      <c r="I339" s="183">
        <f>+G339*H339</f>
        <v/>
      </c>
      <c r="J339" s="61" t="n"/>
      <c r="K339" s="61" t="n"/>
      <c r="L339" s="61" t="n"/>
      <c r="M339" s="61" t="n"/>
      <c r="N339" s="61" t="n"/>
      <c r="O339" s="61" t="n"/>
      <c r="P339" s="61" t="n"/>
    </row>
    <row r="340" ht="28.8" customHeight="1">
      <c r="B340" s="188" t="n"/>
      <c r="C340" s="185" t="n"/>
      <c r="D340" s="188" t="n"/>
      <c r="E340" s="185" t="n"/>
      <c r="F340" s="185" t="n"/>
      <c r="G340" s="94" t="n">
        <v>1</v>
      </c>
      <c r="H340" s="190" t="n"/>
      <c r="I340" s="183">
        <f>+G340*H340</f>
        <v/>
      </c>
      <c r="J340" s="61" t="n"/>
      <c r="K340" s="61" t="n"/>
      <c r="L340" s="61" t="n"/>
      <c r="M340" s="61" t="n"/>
      <c r="N340" s="61" t="n"/>
      <c r="O340" s="61" t="n"/>
      <c r="P340" s="61" t="n"/>
    </row>
    <row r="341" ht="28.8" customHeight="1">
      <c r="B341" s="90" t="n">
        <v>46190</v>
      </c>
      <c r="C341" s="61" t="n">
        <v>165</v>
      </c>
      <c r="D341" s="100" t="inlineStr">
        <is>
          <t>C5 Blok 0.20 kotu alçıpan duvarlar hasar görmüştür. Hasar gören alçıpanlar sökülüp düzeltilmiştir.</t>
        </is>
      </c>
      <c r="E341" s="61" t="inlineStr">
        <is>
          <t>2 Usta
1 Usta Yard.</t>
        </is>
      </c>
      <c r="F341" s="61" t="inlineStr">
        <is>
          <t>yevmiye</t>
        </is>
      </c>
      <c r="G341" s="94" t="n">
        <v>2</v>
      </c>
      <c r="H341" s="190" t="n"/>
      <c r="I341" s="183">
        <f>+G341*H341</f>
        <v/>
      </c>
      <c r="J341" s="61" t="inlineStr">
        <is>
          <t>FX Ultra Alçıpan</t>
        </is>
      </c>
      <c r="K341" s="61" t="inlineStr">
        <is>
          <t>m²</t>
        </is>
      </c>
      <c r="L341" s="61" t="n">
        <v>36</v>
      </c>
      <c r="M341" s="61" t="n"/>
      <c r="N341" s="61" t="n"/>
      <c r="O341" s="61" t="n"/>
      <c r="P341" s="61" t="n"/>
    </row>
    <row r="342" ht="28.8" customHeight="1">
      <c r="B342" s="188" t="n"/>
      <c r="C342" s="185" t="n"/>
      <c r="D342" s="188" t="n"/>
      <c r="E342" s="185" t="n"/>
      <c r="F342" s="185" t="n"/>
      <c r="G342" s="94" t="n">
        <v>1</v>
      </c>
      <c r="H342" s="190" t="n"/>
      <c r="I342" s="183">
        <f>+G342*H342</f>
        <v/>
      </c>
      <c r="J342" s="61" t="n"/>
      <c r="K342" s="61" t="n"/>
      <c r="L342" s="61" t="n"/>
      <c r="M342" s="61" t="n"/>
      <c r="N342" s="61" t="n"/>
      <c r="O342" s="61" t="n"/>
      <c r="P342" s="61" t="n"/>
    </row>
    <row r="343" ht="28.8" customHeight="1">
      <c r="B343" s="90" t="n">
        <v>46190</v>
      </c>
      <c r="C343" s="61" t="inlineStr">
        <is>
          <t>165A</t>
        </is>
      </c>
      <c r="D343" s="100" t="inlineStr">
        <is>
          <t>C5 Blok 0.20 kotu alçıpan duvarlar hasar görmüştür. Hasar gören alçıpanlar sökülüp düzeltilmiştir.</t>
        </is>
      </c>
      <c r="E343" s="61" t="inlineStr">
        <is>
          <t>2 Usta
3 Usta Yard.</t>
        </is>
      </c>
      <c r="F343" s="61" t="inlineStr">
        <is>
          <t>yevmiye</t>
        </is>
      </c>
      <c r="G343" s="94" t="n">
        <v>2</v>
      </c>
      <c r="H343" s="190" t="n"/>
      <c r="I343" s="183">
        <f>+G343*H343</f>
        <v/>
      </c>
      <c r="J343" s="61" t="inlineStr">
        <is>
          <t>FX Ultra Alçıpan</t>
        </is>
      </c>
      <c r="K343" s="61" t="inlineStr">
        <is>
          <t>m²</t>
        </is>
      </c>
      <c r="L343" s="61" t="n">
        <v>37</v>
      </c>
      <c r="M343" s="61" t="n"/>
      <c r="N343" s="61" t="n"/>
      <c r="O343" s="61" t="n"/>
      <c r="P343" s="61" t="n"/>
    </row>
    <row r="344" ht="28.8" customHeight="1">
      <c r="B344" s="188" t="n"/>
      <c r="C344" s="185" t="n"/>
      <c r="D344" s="188" t="n"/>
      <c r="E344" s="185" t="n"/>
      <c r="F344" s="185" t="n"/>
      <c r="G344" s="94" t="n">
        <v>3</v>
      </c>
      <c r="H344" s="190" t="n"/>
      <c r="I344" s="183">
        <f>+G344*H344</f>
        <v/>
      </c>
      <c r="J344" s="61" t="n"/>
      <c r="K344" s="61" t="n"/>
      <c r="L344" s="61" t="n"/>
      <c r="M344" s="61" t="n"/>
      <c r="N344" s="61" t="n"/>
      <c r="O344" s="61" t="n"/>
      <c r="P344" s="61" t="n"/>
    </row>
    <row r="345" ht="28.8" customHeight="1">
      <c r="B345" s="90" t="n">
        <v>46191</v>
      </c>
      <c r="C345" s="61" t="n">
        <v>166</v>
      </c>
      <c r="D345" s="100" t="inlineStr">
        <is>
          <t>C5 Blok 0.20 kotu alçıpan duvarlar hasar görmüştür. Hasar gören alçıpanlar sökülüp düzeltilmiştir.</t>
        </is>
      </c>
      <c r="E345" s="61" t="inlineStr">
        <is>
          <t>2 Usta
3 Usta Yard.</t>
        </is>
      </c>
      <c r="F345" s="61" t="inlineStr">
        <is>
          <t>yevmiye</t>
        </is>
      </c>
      <c r="G345" s="94" t="n">
        <v>2</v>
      </c>
      <c r="H345" s="190" t="n"/>
      <c r="I345" s="183">
        <f>+G345*H345</f>
        <v/>
      </c>
      <c r="J345" s="61" t="inlineStr">
        <is>
          <t>FX Ultra Alçıpan</t>
        </is>
      </c>
      <c r="K345" s="61" t="inlineStr">
        <is>
          <t>m²</t>
        </is>
      </c>
      <c r="L345" s="61" t="n">
        <v>35</v>
      </c>
      <c r="M345" s="61" t="n"/>
      <c r="N345" s="61" t="n"/>
      <c r="O345" s="61" t="n"/>
      <c r="P345" s="61" t="n"/>
    </row>
    <row r="346" ht="28.8" customHeight="1">
      <c r="B346" s="188" t="n"/>
      <c r="C346" s="185" t="n"/>
      <c r="D346" s="188" t="n"/>
      <c r="E346" s="185" t="n"/>
      <c r="F346" s="185" t="n"/>
      <c r="G346" s="94" t="n">
        <v>3</v>
      </c>
      <c r="H346" s="190" t="n"/>
      <c r="I346" s="183">
        <f>+G346*H346</f>
        <v/>
      </c>
      <c r="J346" s="61" t="n"/>
      <c r="K346" s="61" t="n"/>
      <c r="L346" s="61" t="n"/>
      <c r="M346" s="61" t="n"/>
      <c r="N346" s="61" t="n"/>
      <c r="O346" s="61" t="n"/>
      <c r="P346" s="61" t="n"/>
    </row>
    <row r="347" ht="28.8" customHeight="1">
      <c r="B347" s="90" t="n">
        <v>46191</v>
      </c>
      <c r="C347" s="61" t="inlineStr">
        <is>
          <t>166A</t>
        </is>
      </c>
      <c r="D347" s="100" t="inlineStr">
        <is>
          <t>C5 Blok 0.20 kotu alçıpan duvarlar hasar görmüştür. Hasar gören alçıpanlar sökülüp düzeltilmiştir.</t>
        </is>
      </c>
      <c r="E347" s="61" t="inlineStr">
        <is>
          <t>2 Usta
1 Usta Yard.</t>
        </is>
      </c>
      <c r="F347" s="61" t="inlineStr">
        <is>
          <t>yevmiye</t>
        </is>
      </c>
      <c r="G347" s="94" t="n">
        <v>2</v>
      </c>
      <c r="H347" s="190" t="n"/>
      <c r="I347" s="183">
        <f>+G347*H347</f>
        <v/>
      </c>
      <c r="J347" s="61" t="inlineStr">
        <is>
          <t>FX Ultra Alçıpan</t>
        </is>
      </c>
      <c r="K347" s="61" t="inlineStr">
        <is>
          <t>m²</t>
        </is>
      </c>
      <c r="L347" s="61" t="n">
        <v>19</v>
      </c>
      <c r="M347" s="61" t="n"/>
      <c r="N347" s="61" t="n"/>
      <c r="O347" s="61" t="n"/>
      <c r="P347" s="61" t="n"/>
    </row>
    <row r="348" ht="28.8" customHeight="1">
      <c r="B348" s="188" t="n"/>
      <c r="C348" s="185" t="n"/>
      <c r="D348" s="188" t="n"/>
      <c r="E348" s="185" t="n"/>
      <c r="F348" s="185" t="n"/>
      <c r="G348" s="94" t="n">
        <v>1</v>
      </c>
      <c r="H348" s="190" t="n"/>
      <c r="I348" s="183">
        <f>+G348*H348</f>
        <v/>
      </c>
      <c r="J348" s="61" t="n"/>
      <c r="K348" s="61" t="n"/>
      <c r="L348" s="61" t="n"/>
      <c r="M348" s="61" t="n"/>
      <c r="N348" s="61" t="n"/>
      <c r="O348" s="61" t="n"/>
      <c r="P348" s="61" t="n"/>
    </row>
    <row r="349" ht="28.8" customHeight="1">
      <c r="B349" s="90" t="n">
        <v>46196</v>
      </c>
      <c r="C349" s="61" t="n">
        <v>167</v>
      </c>
      <c r="D349" s="100" t="inlineStr">
        <is>
          <t>C3 Blok 5.20 kotu cephe doğramaları takılırken alçıpan duvarlar hasar görmüştür. Hasar gören alçıpanlar sökülüp düzeltilmiştir.</t>
        </is>
      </c>
      <c r="E349" s="61" t="inlineStr">
        <is>
          <t>5 Usta
5 Usta Yard.</t>
        </is>
      </c>
      <c r="F349" s="61" t="inlineStr">
        <is>
          <t>yevmiye</t>
        </is>
      </c>
      <c r="G349" s="94" t="n">
        <v>5</v>
      </c>
      <c r="H349" s="190" t="n"/>
      <c r="I349" s="183">
        <f>+G349*H349</f>
        <v/>
      </c>
      <c r="J349" s="61" t="inlineStr">
        <is>
          <t>FX Ultra Alçıpan</t>
        </is>
      </c>
      <c r="K349" s="61" t="inlineStr">
        <is>
          <t>m²</t>
        </is>
      </c>
      <c r="L349" s="61" t="n">
        <v>135</v>
      </c>
      <c r="M349" s="61" t="n"/>
      <c r="N349" s="61" t="n"/>
      <c r="O349" s="61" t="n"/>
      <c r="P349" s="61" t="n"/>
    </row>
    <row r="350" ht="28.8" customHeight="1">
      <c r="B350" s="188" t="n"/>
      <c r="C350" s="185" t="n"/>
      <c r="D350" s="188" t="n"/>
      <c r="E350" s="185" t="n"/>
      <c r="F350" s="185" t="n"/>
      <c r="G350" s="94" t="n">
        <v>5</v>
      </c>
      <c r="H350" s="190" t="n"/>
      <c r="I350" s="183">
        <f>+G350*H350</f>
        <v/>
      </c>
      <c r="J350" s="61" t="n"/>
      <c r="K350" s="61" t="n"/>
      <c r="L350" s="61" t="n"/>
      <c r="M350" s="61" t="n"/>
      <c r="N350" s="61" t="n"/>
      <c r="O350" s="61" t="n"/>
      <c r="P350" s="61" t="n"/>
    </row>
    <row r="351" ht="28.8" customHeight="1">
      <c r="B351" s="90" t="n">
        <v>46197</v>
      </c>
      <c r="C351" s="61" t="n">
        <v>168</v>
      </c>
      <c r="D351" s="100" t="inlineStr">
        <is>
          <t>C3 Blok 10.20 kotu cephe doğramaları takılırken alçıpan duvarlar hasar görmüştür. Hasar gören alçıpanlar sökülüp düzeltilmiştir.</t>
        </is>
      </c>
      <c r="E351" s="61" t="inlineStr">
        <is>
          <t>5 Usta
5 Usta Yard.</t>
        </is>
      </c>
      <c r="F351" s="61" t="inlineStr">
        <is>
          <t>yevmiye</t>
        </is>
      </c>
      <c r="G351" s="94" t="n">
        <v>5</v>
      </c>
      <c r="H351" s="190" t="n"/>
      <c r="I351" s="183">
        <f>+G351*H351</f>
        <v/>
      </c>
      <c r="J351" s="61" t="inlineStr">
        <is>
          <t>FX Ultra Alçıpan</t>
        </is>
      </c>
      <c r="K351" s="61" t="inlineStr">
        <is>
          <t>m²</t>
        </is>
      </c>
      <c r="L351" s="61" t="n">
        <v>135</v>
      </c>
      <c r="M351" s="61" t="n"/>
      <c r="N351" s="61" t="n"/>
      <c r="O351" s="61" t="n"/>
      <c r="P351" s="61" t="n"/>
    </row>
    <row r="352" ht="28.8" customHeight="1">
      <c r="B352" s="188" t="n"/>
      <c r="C352" s="185" t="n"/>
      <c r="D352" s="188" t="n"/>
      <c r="E352" s="185" t="n"/>
      <c r="F352" s="185" t="n"/>
      <c r="G352" s="94" t="n">
        <v>5</v>
      </c>
      <c r="H352" s="190" t="n"/>
      <c r="I352" s="183">
        <f>+G352*H352</f>
        <v/>
      </c>
      <c r="J352" s="61" t="n"/>
      <c r="K352" s="61" t="n"/>
      <c r="L352" s="61" t="n"/>
      <c r="M352" s="61" t="n"/>
      <c r="N352" s="61" t="n"/>
      <c r="O352" s="61" t="n"/>
      <c r="P352" s="61" t="n"/>
    </row>
    <row r="353" ht="28.8" customHeight="1">
      <c r="B353" s="90" t="n">
        <v>46195</v>
      </c>
      <c r="C353" s="61" t="n">
        <v>169</v>
      </c>
      <c r="D353" s="100" t="inlineStr">
        <is>
          <t>C5 Blok 0.20 kotu ıslak hacimlarde elektrik biriminin çalışmaları sırasında alçıpan duvarlar hasar görmüştür. Hasar gören alçıpanlar sökülüp düzeltilmiştir.</t>
        </is>
      </c>
      <c r="E353" s="61" t="inlineStr">
        <is>
          <t>1 Usta
1 Usta Yard.</t>
        </is>
      </c>
      <c r="F353" s="61" t="inlineStr">
        <is>
          <t>yevmiye</t>
        </is>
      </c>
      <c r="G353" s="94" t="n">
        <v>1</v>
      </c>
      <c r="H353" s="190" t="n"/>
      <c r="I353" s="183">
        <f>+G353*H353</f>
        <v/>
      </c>
      <c r="J353" s="61" t="inlineStr">
        <is>
          <t>Suya Dayanıklı Alçıpan</t>
        </is>
      </c>
      <c r="K353" s="61" t="inlineStr">
        <is>
          <t>m²</t>
        </is>
      </c>
      <c r="L353" s="61" t="n">
        <v>16</v>
      </c>
      <c r="M353" s="61" t="n"/>
      <c r="N353" s="61" t="n"/>
      <c r="O353" s="61" t="n"/>
      <c r="P353" s="61" t="n"/>
    </row>
    <row r="354" ht="28.8" customHeight="1">
      <c r="B354" s="188" t="n"/>
      <c r="C354" s="185" t="n"/>
      <c r="D354" s="188" t="n"/>
      <c r="E354" s="185" t="n"/>
      <c r="F354" s="185" t="n"/>
      <c r="G354" s="94" t="n">
        <v>1</v>
      </c>
      <c r="H354" s="190" t="n"/>
      <c r="I354" s="183">
        <f>+G354*H354</f>
        <v/>
      </c>
      <c r="J354" s="61" t="n"/>
      <c r="K354" s="61" t="n"/>
      <c r="L354" s="61" t="n"/>
      <c r="M354" s="61" t="n"/>
      <c r="N354" s="61" t="n"/>
      <c r="O354" s="61" t="n"/>
      <c r="P354" s="61" t="n"/>
    </row>
    <row r="355" ht="28.8" customHeight="1">
      <c r="B355" s="90" t="n">
        <v>46195</v>
      </c>
      <c r="C355" s="61" t="n">
        <v>170</v>
      </c>
      <c r="D355" s="100" t="inlineStr">
        <is>
          <t>C3 Blok 0.20 kotu alçıpan tamiratları sonrası derz ve saten tamiratları yapılmıştır.</t>
        </is>
      </c>
      <c r="E355" s="61" t="inlineStr">
        <is>
          <t>1 Usta</t>
        </is>
      </c>
      <c r="F355" s="61" t="inlineStr">
        <is>
          <t>yevmiye</t>
        </is>
      </c>
      <c r="G355" s="94" t="n">
        <v>1</v>
      </c>
      <c r="H355" s="190" t="n"/>
      <c r="I355" s="183">
        <f>+G355*H355</f>
        <v/>
      </c>
      <c r="J355" s="61" t="n"/>
      <c r="K355" s="61" t="n"/>
      <c r="L355" s="61" t="n"/>
      <c r="M355" s="61" t="n"/>
      <c r="N355" s="61" t="n"/>
      <c r="O355" s="61" t="n"/>
      <c r="P355" s="61" t="n"/>
    </row>
    <row r="356" ht="28.8" customHeight="1">
      <c r="B356" s="90" t="n">
        <v>46195</v>
      </c>
      <c r="C356" s="61" t="inlineStr">
        <is>
          <t>170A</t>
        </is>
      </c>
      <c r="D356" s="100" t="inlineStr">
        <is>
          <t>C3 Blok 0.20 kotu alçıpan tamiratları sonrası derz ve saten tamiratları yapılmıştır.</t>
        </is>
      </c>
      <c r="E356" s="61" t="inlineStr">
        <is>
          <t>2 Usta</t>
        </is>
      </c>
      <c r="F356" s="61" t="inlineStr">
        <is>
          <t>yevmiye</t>
        </is>
      </c>
      <c r="G356" s="94" t="n">
        <v>2</v>
      </c>
      <c r="H356" s="190" t="n"/>
      <c r="I356" s="183">
        <f>+G356*H356</f>
        <v/>
      </c>
      <c r="J356" s="61" t="n"/>
      <c r="K356" s="61" t="n"/>
      <c r="L356" s="61" t="n"/>
      <c r="M356" s="61" t="n"/>
      <c r="N356" s="61" t="n"/>
      <c r="O356" s="61" t="n"/>
      <c r="P356" s="61" t="n"/>
    </row>
    <row r="357" ht="28.8" customHeight="1">
      <c r="B357" s="90" t="n">
        <v>46197</v>
      </c>
      <c r="C357" s="61" t="n">
        <v>171</v>
      </c>
      <c r="D357" s="100" t="inlineStr">
        <is>
          <t>C3 Blok merdivenlerinde duvar alçı sıva öncesi kabadan kalan demir ve çivi kesimleri, beton kırımları yapılmıştır.</t>
        </is>
      </c>
      <c r="E357" s="61" t="inlineStr">
        <is>
          <t>3 Usta</t>
        </is>
      </c>
      <c r="F357" s="61" t="inlineStr">
        <is>
          <t>yevmiye</t>
        </is>
      </c>
      <c r="G357" s="94" t="n">
        <v>3</v>
      </c>
      <c r="H357" s="190" t="n"/>
      <c r="I357" s="183">
        <f>+G357*H357</f>
        <v/>
      </c>
      <c r="J357" s="61" t="n"/>
      <c r="K357" s="61" t="n"/>
      <c r="L357" s="61" t="n"/>
      <c r="M357" s="61" t="n"/>
      <c r="N357" s="61" t="n"/>
      <c r="O357" s="61" t="n"/>
      <c r="P357" s="61" t="n"/>
    </row>
    <row r="358" ht="28.8" customHeight="1">
      <c r="A358" t="inlineStr">
        <is>
          <t>İPTAL</t>
        </is>
      </c>
      <c r="B358" s="90" t="n">
        <v>46196</v>
      </c>
      <c r="C358" s="61" t="n">
        <v>172</v>
      </c>
      <c r="D358" s="100" t="inlineStr">
        <is>
          <t>C3 Blok 0.20 kotunda, koridorlarda bulunan 104 adet springin montajı için kutu profil ile gerekli güçlendirme yapılmıştır</t>
        </is>
      </c>
      <c r="E358" s="61" t="inlineStr">
        <is>
          <t>5 Usta
5 Usta Yard.</t>
        </is>
      </c>
      <c r="F358" s="61" t="inlineStr">
        <is>
          <t>yevmiye</t>
        </is>
      </c>
      <c r="G358" s="94" t="n">
        <v>5</v>
      </c>
      <c r="H358" s="190" t="n"/>
      <c r="I358" s="183" t="n"/>
      <c r="J358" s="61" t="inlineStr">
        <is>
          <t>40*40*1.5 mm Kutu Profil</t>
        </is>
      </c>
      <c r="K358" s="61" t="inlineStr">
        <is>
          <t>m</t>
        </is>
      </c>
      <c r="L358" s="61" t="n">
        <v>174.2</v>
      </c>
      <c r="M358" s="61" t="n"/>
      <c r="N358" s="61" t="n"/>
      <c r="O358" s="61" t="n"/>
      <c r="P358" s="61" t="n"/>
    </row>
    <row r="359" ht="28.8" customHeight="1">
      <c r="B359" s="188" t="n"/>
      <c r="C359" s="185" t="n"/>
      <c r="D359" s="188" t="n"/>
      <c r="E359" s="185" t="n"/>
      <c r="F359" s="185" t="n"/>
      <c r="G359" s="94" t="n">
        <v>5</v>
      </c>
      <c r="H359" s="190" t="n"/>
      <c r="I359" s="183" t="n"/>
      <c r="J359" s="61" t="n"/>
      <c r="K359" s="61" t="n"/>
      <c r="L359" s="61" t="n"/>
      <c r="M359" s="61" t="n"/>
      <c r="N359" s="61" t="n"/>
      <c r="O359" s="61" t="n"/>
      <c r="P359" s="61" t="n"/>
    </row>
    <row r="360" ht="28.8" customHeight="1">
      <c r="A360" t="inlineStr">
        <is>
          <t>İPTAL</t>
        </is>
      </c>
      <c r="B360" s="90" t="n">
        <v>46197</v>
      </c>
      <c r="C360" s="61" t="n">
        <v>173</v>
      </c>
      <c r="D360" s="100" t="inlineStr">
        <is>
          <t>C5 Blok 0.20 kotunda, koridorlarda bulunan 104 adet springin montajı için kutu profil ile gerekli güçlendirme yapılmıştır</t>
        </is>
      </c>
      <c r="E360" s="61" t="inlineStr">
        <is>
          <t>5 Usta
5 Usta Yard.</t>
        </is>
      </c>
      <c r="F360" s="61" t="inlineStr">
        <is>
          <t>yevmiye</t>
        </is>
      </c>
      <c r="G360" s="94" t="n">
        <v>5</v>
      </c>
      <c r="H360" s="190" t="n"/>
      <c r="I360" s="183" t="n"/>
      <c r="J360" s="61" t="inlineStr">
        <is>
          <t>40*40*1.5 mm Kutu Profil</t>
        </is>
      </c>
      <c r="K360" s="61" t="inlineStr">
        <is>
          <t>m</t>
        </is>
      </c>
      <c r="L360" s="61" t="n">
        <v>174.2</v>
      </c>
      <c r="M360" s="61" t="n"/>
      <c r="N360" s="61" t="n"/>
      <c r="O360" s="61" t="n"/>
      <c r="P360" s="61" t="n"/>
    </row>
    <row r="361" ht="28.8" customHeight="1">
      <c r="B361" s="188" t="n"/>
      <c r="C361" s="185" t="n"/>
      <c r="D361" s="188" t="n"/>
      <c r="E361" s="185" t="n"/>
      <c r="F361" s="185" t="n"/>
      <c r="G361" s="94" t="n">
        <v>5</v>
      </c>
      <c r="H361" s="190" t="n"/>
      <c r="I361" s="183" t="n"/>
      <c r="J361" s="61" t="n"/>
      <c r="K361" s="61" t="n"/>
      <c r="L361" s="61" t="n"/>
      <c r="M361" s="61" t="n"/>
      <c r="N361" s="61" t="n"/>
      <c r="O361" s="61" t="n"/>
      <c r="P361" s="61" t="n"/>
    </row>
    <row r="362" ht="28.8" customHeight="1">
      <c r="B362" s="90" t="n">
        <v>46198</v>
      </c>
      <c r="C362" s="61" t="n">
        <v>174</v>
      </c>
      <c r="D362" s="100" t="inlineStr">
        <is>
          <t>C3 Blok merdivenlerinde yapılan ölçümler ve uygulama sırasında, kaba inşaat imalatlarındaki yüzey bozuklukları nedeniyle duvar alçı sıva kalınlıkları proje ve standart uygulama kalınlıklarının üzerine çıkmış olup yer yer 4-7 cm seviyelerine ulaşmıştır.</t>
        </is>
      </c>
      <c r="E362" s="61" t="n"/>
      <c r="F362" s="61" t="n"/>
      <c r="G362" s="94" t="n"/>
      <c r="H362" s="190" t="n"/>
      <c r="I362" s="183" t="n"/>
      <c r="J362" s="61" t="inlineStr">
        <is>
          <t>1.3.2 Duvarlara Alçı Sıva Yapılması</t>
        </is>
      </c>
      <c r="K362" s="61" t="inlineStr">
        <is>
          <t>m²</t>
        </is>
      </c>
      <c r="L362" s="61" t="n">
        <v>2811.23</v>
      </c>
      <c r="M362" s="61" t="n"/>
      <c r="N362" s="61" t="n"/>
      <c r="O362" s="61" t="n"/>
      <c r="P362" s="61" t="n"/>
    </row>
    <row r="363" ht="28.8" customHeight="1">
      <c r="B363" s="188" t="n"/>
      <c r="C363" s="185" t="n"/>
      <c r="D363" s="188" t="n"/>
      <c r="E363" s="185" t="n"/>
      <c r="F363" s="185" t="n"/>
      <c r="G363" s="94" t="n"/>
      <c r="H363" s="190" t="n"/>
      <c r="I363" s="183" t="n"/>
      <c r="J363" s="61" t="inlineStr">
        <is>
          <t>1.3.1 Duvarlara Çimento Esaslı Sıva Yapılması</t>
        </is>
      </c>
      <c r="K363" s="61" t="inlineStr">
        <is>
          <t>m²</t>
        </is>
      </c>
      <c r="L363" s="61" t="n">
        <v>182.65</v>
      </c>
      <c r="M363" s="61" t="n"/>
      <c r="N363" s="61" t="n"/>
      <c r="O363" s="61" t="n"/>
      <c r="P363" s="61" t="n"/>
    </row>
    <row r="364" ht="28.8" customHeight="1">
      <c r="B364" s="90" t="n">
        <v>46202</v>
      </c>
      <c r="C364" s="61" t="n">
        <v>175</v>
      </c>
      <c r="D364" s="100" t="inlineStr">
        <is>
          <t>C5 Blok 0.20 kotunda, C-Z-104-105-106-107-108-109-125-127 mahallerinde metal asma tavan askılarına denk gelen havalandırma kanalları nedeniyle askı atılacak alanlara gerekli güçlendirmeler yapılmıştır</t>
        </is>
      </c>
      <c r="E364" s="61" t="inlineStr">
        <is>
          <t>2 Usta
2 Usta Yard.</t>
        </is>
      </c>
      <c r="F364" s="61" t="inlineStr">
        <is>
          <t>yevmiye</t>
        </is>
      </c>
      <c r="G364" s="94" t="n">
        <v>2</v>
      </c>
      <c r="H364" s="190" t="n"/>
      <c r="I364" s="183">
        <f>+G364*H364</f>
        <v/>
      </c>
      <c r="J364" s="61" t="n"/>
      <c r="K364" s="61" t="n"/>
      <c r="L364" s="61" t="n"/>
      <c r="M364" s="61" t="n"/>
      <c r="N364" s="61" t="n"/>
      <c r="O364" s="61" t="n"/>
      <c r="P364" s="61" t="n"/>
    </row>
    <row r="365" ht="28.8" customHeight="1">
      <c r="B365" s="188" t="n"/>
      <c r="C365" s="185" t="n"/>
      <c r="D365" s="188" t="n"/>
      <c r="E365" s="185" t="n"/>
      <c r="F365" s="185" t="n"/>
      <c r="G365" s="94" t="n">
        <v>2</v>
      </c>
      <c r="H365" s="190" t="n"/>
      <c r="I365" s="183">
        <f>+G365*H365</f>
        <v/>
      </c>
      <c r="J365" s="61" t="n"/>
      <c r="K365" s="61" t="n"/>
      <c r="L365" s="61" t="n"/>
      <c r="M365" s="61" t="n"/>
      <c r="N365" s="61" t="n"/>
      <c r="O365" s="61" t="n"/>
      <c r="P365" s="61" t="n"/>
    </row>
    <row r="366" ht="28.8" customHeight="1">
      <c r="A366" t="inlineStr">
        <is>
          <t>İPTAL</t>
        </is>
      </c>
      <c r="B366" s="90" t="n">
        <v>46202</v>
      </c>
      <c r="C366" s="61" t="n">
        <v>176</v>
      </c>
      <c r="D366" s="100" t="inlineStr">
        <is>
          <t>C3 Blok 5.20, 10.20, 15.20, 20.20 ve 25.20 kotlarında bulunan ıslak hacimlerde duvar imalatlarının tamamlanamaması nedeniyle, şap imalatına başlanabilmesi amacıyla duvarlarda yalnızca şap kotunu kurtaracak seviyede kısmi alçıpan kapama imalatı yapılmıştır.</t>
        </is>
      </c>
      <c r="E366" s="61" t="inlineStr">
        <is>
          <t>2 Usta
2 Usta Yard.</t>
        </is>
      </c>
      <c r="F366" s="61" t="inlineStr">
        <is>
          <t>yevmiye</t>
        </is>
      </c>
      <c r="G366" s="94" t="n">
        <v>2</v>
      </c>
      <c r="H366" s="190" t="n"/>
      <c r="I366" s="183" t="n"/>
      <c r="J366" s="61" t="n"/>
      <c r="K366" s="61" t="n"/>
      <c r="L366" s="61" t="n"/>
      <c r="M366" s="61" t="n"/>
      <c r="N366" s="61" t="n"/>
      <c r="O366" s="61" t="n"/>
      <c r="P366" s="61" t="n"/>
    </row>
    <row r="367" ht="28.8" customHeight="1">
      <c r="B367" s="188" t="n"/>
      <c r="C367" s="185" t="n"/>
      <c r="D367" s="188" t="n"/>
      <c r="E367" s="185" t="n"/>
      <c r="F367" s="185" t="n"/>
      <c r="G367" s="94" t="n">
        <v>2</v>
      </c>
      <c r="H367" s="190" t="n"/>
      <c r="I367" s="183" t="n"/>
      <c r="J367" s="61" t="n"/>
      <c r="K367" s="61" t="n"/>
      <c r="L367" s="61" t="n"/>
      <c r="M367" s="61" t="n"/>
      <c r="N367" s="61" t="n"/>
      <c r="O367" s="61" t="n"/>
      <c r="P367" s="61" t="n"/>
    </row>
    <row r="368" ht="28.8" customHeight="1">
      <c r="B368" s="90" t="n">
        <v>46203</v>
      </c>
      <c r="C368" s="61" t="n">
        <v>177</v>
      </c>
      <c r="D368" s="100" t="inlineStr">
        <is>
          <t>C3 Blok 15.20 kotu cephe doğramaları takılırken alçıpan duvarlar hasar görmüştür. Hasar gören alçıpanlar sökülüp düzeltilmiştir.</t>
        </is>
      </c>
      <c r="E368" s="61" t="inlineStr">
        <is>
          <t>4 Usta
4 Usta Yard.</t>
        </is>
      </c>
      <c r="F368" s="61" t="inlineStr">
        <is>
          <t>yevmiye</t>
        </is>
      </c>
      <c r="G368" s="94" t="n">
        <v>4</v>
      </c>
      <c r="H368" s="190" t="n"/>
      <c r="I368" s="183">
        <f>+G368*H368</f>
        <v/>
      </c>
      <c r="J368" s="61" t="n"/>
      <c r="K368" s="61" t="n"/>
      <c r="L368" s="61" t="n"/>
      <c r="M368" s="61" t="n"/>
      <c r="N368" s="61" t="n"/>
      <c r="O368" s="61" t="n"/>
      <c r="P368" s="61" t="n"/>
    </row>
    <row r="369" ht="28.8" customHeight="1">
      <c r="B369" s="188" t="n"/>
      <c r="C369" s="185" t="n"/>
      <c r="D369" s="188" t="n"/>
      <c r="E369" s="185" t="n"/>
      <c r="F369" s="185" t="n"/>
      <c r="G369" s="94" t="n">
        <v>4</v>
      </c>
      <c r="H369" s="190" t="n"/>
      <c r="I369" s="183">
        <f>+G369*H369</f>
        <v/>
      </c>
      <c r="J369" s="61" t="n"/>
      <c r="K369" s="61" t="n"/>
      <c r="L369" s="61" t="n"/>
      <c r="M369" s="61" t="n"/>
      <c r="N369" s="61" t="n"/>
      <c r="O369" s="61" t="n"/>
      <c r="P369" s="61" t="n"/>
    </row>
    <row r="370" ht="28.8" customHeight="1">
      <c r="B370" s="90" t="n">
        <v>46203</v>
      </c>
      <c r="C370" s="61" t="n">
        <v>178</v>
      </c>
      <c r="D370" s="100" t="inlineStr">
        <is>
          <t>C6-C7 Bloklar -4.80 kotu beton alımına engel olan kalıp malzemeleri kaldırılmıştır.</t>
        </is>
      </c>
      <c r="E370" s="61" t="inlineStr">
        <is>
          <t>3 Usta Yard.</t>
        </is>
      </c>
      <c r="F370" s="61" t="inlineStr">
        <is>
          <t>yevmiye</t>
        </is>
      </c>
      <c r="G370" s="94" t="n">
        <v>3</v>
      </c>
      <c r="H370" s="190" t="n"/>
      <c r="I370" s="183">
        <f>+G370*H370</f>
        <v/>
      </c>
      <c r="J370" s="61" t="n"/>
      <c r="K370" s="61" t="n"/>
      <c r="L370" s="61" t="n"/>
      <c r="M370" s="61" t="n"/>
      <c r="N370" s="61" t="n"/>
      <c r="O370" s="61" t="n"/>
      <c r="P370" s="61" t="n"/>
    </row>
    <row r="371" ht="28.8" customHeight="1">
      <c r="B371" s="90" t="n">
        <v>46203</v>
      </c>
      <c r="C371" s="61" t="n">
        <v>179</v>
      </c>
      <c r="D371" s="100" t="inlineStr">
        <is>
          <t>C3 Blok 0.20 kotu zarar gören alçıpan duvarlar sökülüp düzeltilmiştir.</t>
        </is>
      </c>
      <c r="E371" s="61" t="inlineStr">
        <is>
          <t>2 Usta
2 Usta Yard.</t>
        </is>
      </c>
      <c r="F371" s="61" t="inlineStr">
        <is>
          <t>yevmiye</t>
        </is>
      </c>
      <c r="G371" s="94" t="n">
        <v>2</v>
      </c>
      <c r="H371" s="190" t="n"/>
      <c r="I371" s="183">
        <f>+G371*H371</f>
        <v/>
      </c>
      <c r="J371" s="61" t="inlineStr">
        <is>
          <t>FX Ultra Alçıpan</t>
        </is>
      </c>
      <c r="K371" s="61" t="inlineStr">
        <is>
          <t>m²</t>
        </is>
      </c>
      <c r="L371" s="61" t="n">
        <v>36.96</v>
      </c>
      <c r="M371" s="61" t="n"/>
      <c r="N371" s="61" t="n"/>
      <c r="O371" s="61" t="n"/>
      <c r="P371" s="61" t="n"/>
    </row>
    <row r="372" ht="28.8" customHeight="1">
      <c r="B372" s="188" t="n"/>
      <c r="C372" s="185" t="n"/>
      <c r="D372" s="188" t="n"/>
      <c r="E372" s="185" t="n"/>
      <c r="F372" s="185" t="n"/>
      <c r="G372" s="94" t="n">
        <v>2</v>
      </c>
      <c r="H372" s="190" t="n"/>
      <c r="I372" s="183">
        <f>+G372*H372</f>
        <v/>
      </c>
      <c r="J372" s="61" t="n"/>
      <c r="K372" s="61" t="n"/>
      <c r="L372" s="61" t="n"/>
      <c r="M372" s="61" t="n"/>
      <c r="N372" s="61" t="n"/>
      <c r="O372" s="61" t="n"/>
      <c r="P372" s="61" t="n"/>
    </row>
    <row r="373" ht="28.8" customHeight="1">
      <c r="B373" s="90" t="n">
        <v>46204</v>
      </c>
      <c r="C373" s="61" t="n">
        <v>180</v>
      </c>
      <c r="D373" s="100" t="inlineStr">
        <is>
          <t>C3 Blok 0.20 kotu zarar gören alçıpan duvarlar sökülüp düzeltilmiştir.</t>
        </is>
      </c>
      <c r="E373" s="61" t="inlineStr">
        <is>
          <t>2 Usta
2 Usta Yard.</t>
        </is>
      </c>
      <c r="F373" s="61" t="inlineStr">
        <is>
          <t>yevmiye</t>
        </is>
      </c>
      <c r="G373" s="94" t="n">
        <v>2</v>
      </c>
      <c r="H373" s="190" t="n"/>
      <c r="I373" s="183">
        <f>+G373*H373</f>
        <v/>
      </c>
      <c r="J373" s="61" t="inlineStr">
        <is>
          <t>FX Ultra Alçıpan</t>
        </is>
      </c>
      <c r="K373" s="61" t="inlineStr">
        <is>
          <t>m²</t>
        </is>
      </c>
      <c r="L373" s="61" t="n">
        <v>34.32</v>
      </c>
      <c r="M373" s="61" t="n"/>
      <c r="N373" s="61" t="n"/>
      <c r="O373" s="61" t="n"/>
      <c r="P373" s="61" t="n"/>
    </row>
    <row r="374" ht="28.8" customHeight="1">
      <c r="B374" s="188" t="n"/>
      <c r="C374" s="185" t="n"/>
      <c r="D374" s="188" t="n"/>
      <c r="E374" s="185" t="n"/>
      <c r="F374" s="185" t="n"/>
      <c r="G374" s="94" t="n">
        <v>2</v>
      </c>
      <c r="H374" s="190" t="n"/>
      <c r="I374" s="183">
        <f>+G374*H374</f>
        <v/>
      </c>
      <c r="J374" s="61" t="n"/>
      <c r="K374" s="61" t="n"/>
      <c r="L374" s="61" t="n"/>
      <c r="M374" s="61" t="n"/>
      <c r="N374" s="61" t="n"/>
      <c r="O374" s="61" t="n"/>
      <c r="P374" s="61" t="n"/>
    </row>
    <row r="375" ht="28.8" customHeight="1">
      <c r="B375" s="90" t="n">
        <v>46205</v>
      </c>
      <c r="C375" s="61" t="n">
        <v>181</v>
      </c>
      <c r="D375" s="100" t="inlineStr">
        <is>
          <t>C3 Blok 0.20 kotu zarar gören alçıpan duvarlar sökülüp düzeltilmiştir.</t>
        </is>
      </c>
      <c r="E375" s="61" t="inlineStr">
        <is>
          <t>2 Usta
2 Usta Yard.</t>
        </is>
      </c>
      <c r="F375" s="61" t="inlineStr">
        <is>
          <t>yevmiye</t>
        </is>
      </c>
      <c r="G375" s="94" t="n">
        <v>2</v>
      </c>
      <c r="H375" s="190" t="n"/>
      <c r="I375" s="183">
        <f>+G375*H375</f>
        <v/>
      </c>
      <c r="J375" s="61" t="inlineStr">
        <is>
          <t>FX Ultra Alçıpan</t>
        </is>
      </c>
      <c r="K375" s="61" t="inlineStr">
        <is>
          <t>m²</t>
        </is>
      </c>
      <c r="L375" s="61" t="n">
        <v>26.4</v>
      </c>
      <c r="M375" s="61" t="n"/>
      <c r="N375" s="61" t="n"/>
      <c r="O375" s="61" t="n"/>
      <c r="P375" s="61" t="n"/>
    </row>
    <row r="376" ht="28.8" customHeight="1">
      <c r="B376" s="188" t="n"/>
      <c r="C376" s="185" t="n"/>
      <c r="D376" s="188" t="n"/>
      <c r="E376" s="185" t="n"/>
      <c r="F376" s="185" t="n"/>
      <c r="G376" s="94" t="n">
        <v>2</v>
      </c>
      <c r="H376" s="190" t="n"/>
      <c r="I376" s="183">
        <f>+G376*H376</f>
        <v/>
      </c>
      <c r="J376" s="61" t="n"/>
      <c r="K376" s="61" t="n"/>
      <c r="L376" s="61" t="n"/>
      <c r="M376" s="61" t="n"/>
      <c r="N376" s="61" t="n"/>
      <c r="O376" s="61" t="n"/>
      <c r="P376" s="61" t="n"/>
    </row>
    <row r="377" ht="28.8" customHeight="1">
      <c r="B377" s="90" t="n">
        <v>46209</v>
      </c>
      <c r="C377" s="61" t="n">
        <v>182</v>
      </c>
      <c r="D377" s="100" t="inlineStr">
        <is>
          <t>C5 Blok 0.20 kotu metal asma tavan karkasları yer yer sökülmüş ve yamulmuştur zarar gören tavanlar düzeltilmiştir.</t>
        </is>
      </c>
      <c r="E377" s="61" t="inlineStr">
        <is>
          <t>3 Usta
2 Usta Yard.</t>
        </is>
      </c>
      <c r="F377" s="61" t="inlineStr">
        <is>
          <t>yevmiye</t>
        </is>
      </c>
      <c r="G377" s="94" t="n">
        <v>3</v>
      </c>
      <c r="H377" s="190" t="n"/>
      <c r="I377" s="183">
        <f>+G377*H377</f>
        <v/>
      </c>
      <c r="J377" s="61" t="n"/>
      <c r="K377" s="61" t="n"/>
      <c r="L377" s="61" t="n"/>
      <c r="M377" s="61" t="n"/>
      <c r="N377" s="61" t="n"/>
      <c r="O377" s="61" t="n"/>
      <c r="P377" s="61" t="n"/>
    </row>
    <row r="378" ht="28.8" customHeight="1">
      <c r="B378" s="188" t="n"/>
      <c r="C378" s="185" t="n"/>
      <c r="D378" s="188" t="n"/>
      <c r="E378" s="185" t="n"/>
      <c r="F378" s="185" t="n"/>
      <c r="G378" s="94" t="n">
        <v>2</v>
      </c>
      <c r="H378" s="190" t="n"/>
      <c r="I378" s="183">
        <f>+G378*H378</f>
        <v/>
      </c>
      <c r="J378" s="61" t="n"/>
      <c r="K378" s="61" t="n"/>
      <c r="L378" s="61" t="n"/>
      <c r="M378" s="61" t="n"/>
      <c r="N378" s="61" t="n"/>
      <c r="O378" s="61" t="n"/>
      <c r="P378" s="61" t="n"/>
    </row>
    <row r="379" ht="28.8" customHeight="1">
      <c r="B379" s="90" t="n">
        <v>46208</v>
      </c>
      <c r="C379" s="61" t="n">
        <v>183</v>
      </c>
      <c r="D379" s="100" t="inlineStr">
        <is>
          <t>C6 Blok -4.80 kotunda, nem ve küf oluşumu nedeniyle hasar gören alçıpan duvarlar sökülerek gerekli düzeltmeler yapılmıştır.</t>
        </is>
      </c>
      <c r="E379" s="61" t="inlineStr">
        <is>
          <t>3 Usta
3 Usta Yard.</t>
        </is>
      </c>
      <c r="F379" s="61" t="inlineStr">
        <is>
          <t>yevmiye</t>
        </is>
      </c>
      <c r="G379" s="94" t="n">
        <v>3</v>
      </c>
      <c r="H379" s="190" t="n"/>
      <c r="I379" s="183">
        <f>+G379*H379</f>
        <v/>
      </c>
      <c r="J379" s="61" t="inlineStr">
        <is>
          <t>FX Ultra Alçıpan</t>
        </is>
      </c>
      <c r="K379" s="61" t="inlineStr">
        <is>
          <t>m²</t>
        </is>
      </c>
      <c r="L379" s="61" t="n">
        <v>132</v>
      </c>
      <c r="M379" s="61" t="n"/>
      <c r="N379" s="61" t="n"/>
      <c r="O379" s="61" t="n"/>
      <c r="P379" s="61" t="n"/>
    </row>
    <row r="380" ht="28.8" customHeight="1">
      <c r="B380" s="188" t="n"/>
      <c r="C380" s="185" t="n"/>
      <c r="D380" s="188" t="n"/>
      <c r="E380" s="185" t="n"/>
      <c r="F380" s="185" t="n"/>
      <c r="G380" s="94" t="n">
        <v>3</v>
      </c>
      <c r="H380" s="190" t="n"/>
      <c r="I380" s="183">
        <f>+G380*H380</f>
        <v/>
      </c>
      <c r="J380" s="61" t="n"/>
      <c r="K380" s="61" t="n"/>
      <c r="L380" s="61" t="n"/>
      <c r="M380" s="61" t="n"/>
      <c r="N380" s="61" t="n"/>
      <c r="O380" s="61" t="n"/>
      <c r="P380" s="61" t="n"/>
    </row>
    <row r="381" ht="28.8" customHeight="1">
      <c r="B381" s="90" t="n">
        <v>46209</v>
      </c>
      <c r="C381" s="61" t="n">
        <v>184</v>
      </c>
      <c r="D381" s="100" t="inlineStr">
        <is>
          <t>C6 Blok -4.80 kotunda, nem ve küf oluşumu nedeniyle hasar gören alçıpan duvarlar sökülerek gerekli düzeltmeler yapılmıştır.</t>
        </is>
      </c>
      <c r="E381" s="61" t="inlineStr">
        <is>
          <t>3 Usta
3 Usta Yard.</t>
        </is>
      </c>
      <c r="F381" s="61" t="inlineStr">
        <is>
          <t>yevmiye</t>
        </is>
      </c>
      <c r="G381" s="94" t="n">
        <v>3</v>
      </c>
      <c r="H381" s="190" t="n"/>
      <c r="I381" s="183">
        <f>+G381*H381</f>
        <v/>
      </c>
      <c r="J381" s="61" t="inlineStr">
        <is>
          <t>FX Ultra Alçıpan</t>
        </is>
      </c>
      <c r="K381" s="61" t="inlineStr">
        <is>
          <t>m²</t>
        </is>
      </c>
      <c r="L381" s="61" t="n">
        <v>118.8</v>
      </c>
      <c r="M381" s="61" t="n"/>
      <c r="N381" s="61" t="n"/>
      <c r="O381" s="61" t="n"/>
      <c r="P381" s="61" t="n"/>
    </row>
    <row r="382" ht="28.8" customHeight="1">
      <c r="B382" s="188" t="n"/>
      <c r="C382" s="185" t="n"/>
      <c r="D382" s="188" t="n"/>
      <c r="E382" s="185" t="n"/>
      <c r="F382" s="185" t="n"/>
      <c r="G382" s="94" t="n">
        <v>3</v>
      </c>
      <c r="H382" s="190" t="n"/>
      <c r="I382" s="183">
        <f>+G382*H382</f>
        <v/>
      </c>
      <c r="J382" s="61" t="n"/>
      <c r="K382" s="61" t="n"/>
      <c r="L382" s="61" t="n"/>
      <c r="M382" s="61" t="n"/>
      <c r="N382" s="61" t="n"/>
      <c r="O382" s="61" t="n"/>
      <c r="P382" s="61" t="n"/>
    </row>
    <row r="383" ht="28.8" customHeight="1">
      <c r="B383" s="90" t="n">
        <v>46210</v>
      </c>
      <c r="C383" s="61" t="n">
        <v>185</v>
      </c>
      <c r="D383" s="100" t="inlineStr">
        <is>
          <t>C6 Blok -4.80 kotunda, nem ve küf oluşumu nedeniyle hasar gören alçıpan duvarlar sökülerek gerekli düzeltmeler yapılmıştır.</t>
        </is>
      </c>
      <c r="E383" s="61" t="inlineStr">
        <is>
          <t>3 Usta
3 Usta Yard.</t>
        </is>
      </c>
      <c r="F383" s="61" t="inlineStr">
        <is>
          <t>yevmiye</t>
        </is>
      </c>
      <c r="G383" s="94" t="n">
        <v>3</v>
      </c>
      <c r="H383" s="190" t="n"/>
      <c r="I383" s="183">
        <f>+G383*H383</f>
        <v/>
      </c>
      <c r="J383" s="61" t="inlineStr">
        <is>
          <t>FX Ultra Alçıpan</t>
        </is>
      </c>
      <c r="K383" s="61" t="inlineStr">
        <is>
          <t>m²</t>
        </is>
      </c>
      <c r="L383" s="61" t="n">
        <v>145.2</v>
      </c>
      <c r="M383" s="61" t="n"/>
      <c r="N383" s="61" t="n"/>
      <c r="O383" s="61" t="n"/>
      <c r="P383" s="61" t="n"/>
    </row>
    <row r="384" ht="28.8" customHeight="1">
      <c r="B384" s="188" t="n"/>
      <c r="C384" s="185" t="n"/>
      <c r="D384" s="188" t="n"/>
      <c r="E384" s="185" t="n"/>
      <c r="F384" s="185" t="n"/>
      <c r="G384" s="94" t="n">
        <v>3</v>
      </c>
      <c r="H384" s="190" t="n"/>
      <c r="I384" s="183">
        <f>+G384*H384</f>
        <v/>
      </c>
      <c r="J384" s="61" t="n"/>
      <c r="K384" s="61" t="n"/>
      <c r="L384" s="61" t="n"/>
      <c r="M384" s="61" t="n"/>
      <c r="N384" s="61" t="n"/>
      <c r="O384" s="61" t="n"/>
      <c r="P384" s="61" t="n"/>
    </row>
    <row r="385" ht="28.8" customHeight="1">
      <c r="B385" s="90" t="n">
        <v>46210</v>
      </c>
      <c r="C385" s="61" t="n">
        <v>186</v>
      </c>
      <c r="D385" s="100" t="inlineStr">
        <is>
          <t>C5 Blok 25.20 kotunda,platform önündeki malzemeler tarafımızca uygun yerlere alınıştır.</t>
        </is>
      </c>
      <c r="E385" s="61" t="inlineStr">
        <is>
          <t>2 Usta Yard.</t>
        </is>
      </c>
      <c r="F385" s="61" t="inlineStr">
        <is>
          <t>yevmiye</t>
        </is>
      </c>
      <c r="G385" s="94" t="n">
        <v>2</v>
      </c>
      <c r="H385" s="190" t="n"/>
      <c r="I385" s="183">
        <f>+G385*H385</f>
        <v/>
      </c>
      <c r="J385" s="61" t="n"/>
      <c r="K385" s="61" t="n"/>
      <c r="L385" s="61" t="n"/>
      <c r="M385" s="61" t="n"/>
      <c r="N385" s="61" t="n"/>
      <c r="O385" s="61" t="n"/>
      <c r="P385" s="61" t="n"/>
    </row>
    <row r="386" ht="28.8" customHeight="1">
      <c r="A386" t="inlineStr">
        <is>
          <t>İPTAL</t>
        </is>
      </c>
      <c r="B386" s="90" t="n">
        <v>46210</v>
      </c>
      <c r="C386" s="61" t="n">
        <v>187</v>
      </c>
      <c r="D386" s="100" t="inlineStr">
        <is>
          <t>kutu profil kullanılarak 7 adet kaide yapılıp teslim edilmiştir..</t>
        </is>
      </c>
      <c r="E386" s="61" t="inlineStr">
        <is>
          <t>2 Usta
2 Usta Yard.</t>
        </is>
      </c>
      <c r="F386" s="61" t="inlineStr">
        <is>
          <t>yevmiye</t>
        </is>
      </c>
      <c r="G386" s="94" t="n">
        <v>2</v>
      </c>
      <c r="H386" s="190" t="n"/>
      <c r="I386" s="183" t="n"/>
      <c r="J386" s="61" t="inlineStr">
        <is>
          <t>80*40 kutu profil</t>
        </is>
      </c>
      <c r="K386" s="61" t="inlineStr">
        <is>
          <t>m</t>
        </is>
      </c>
      <c r="L386" s="61" t="n">
        <v>60</v>
      </c>
      <c r="M386" s="61" t="n"/>
      <c r="N386" s="61" t="n"/>
      <c r="O386" s="61" t="n"/>
      <c r="P386" s="61" t="n"/>
    </row>
    <row r="387" ht="28.8" customHeight="1">
      <c r="B387" s="188" t="n"/>
      <c r="C387" s="185" t="n"/>
      <c r="D387" s="188" t="n"/>
      <c r="E387" s="185" t="n"/>
      <c r="F387" s="185" t="n"/>
      <c r="G387" s="94" t="n">
        <v>2</v>
      </c>
      <c r="H387" s="190" t="n"/>
      <c r="I387" s="183" t="n"/>
      <c r="J387" s="61" t="n"/>
      <c r="K387" s="61" t="n"/>
      <c r="L387" s="61" t="n"/>
      <c r="M387" s="61" t="n"/>
      <c r="N387" s="61" t="n"/>
      <c r="O387" s="61" t="n"/>
      <c r="P387" s="61" t="n"/>
    </row>
    <row r="388" ht="28.8" customHeight="1">
      <c r="B388" s="90" t="n">
        <v>46211</v>
      </c>
      <c r="C388" s="61" t="n">
        <v>188</v>
      </c>
      <c r="D388" s="100" t="inlineStr">
        <is>
          <t>C6 Blok -4.80 kotunda, nem ve küf oluşumu nedeniyle hasar gören alçıpan duvarlar sökülerek gerekli düzeltmeler yapılmıştır.</t>
        </is>
      </c>
      <c r="E388" s="61" t="inlineStr">
        <is>
          <t>4 Usta
4 Usta Yard.</t>
        </is>
      </c>
      <c r="F388" s="61" t="inlineStr">
        <is>
          <t>yevmiye</t>
        </is>
      </c>
      <c r="G388" s="94" t="n">
        <v>4</v>
      </c>
      <c r="H388" s="190" t="n"/>
      <c r="I388" s="183">
        <f>+G388*H388</f>
        <v/>
      </c>
      <c r="J388" s="61" t="inlineStr">
        <is>
          <t>FX Ultra Alçıpan</t>
        </is>
      </c>
      <c r="K388" s="61" t="inlineStr">
        <is>
          <t>m²</t>
        </is>
      </c>
      <c r="L388" s="61" t="n">
        <v>158.4</v>
      </c>
      <c r="M388" s="61" t="n"/>
      <c r="N388" s="61" t="n"/>
      <c r="O388" s="61" t="n"/>
      <c r="P388" s="61" t="n"/>
    </row>
    <row r="389" ht="28.8" customHeight="1">
      <c r="B389" s="188" t="n"/>
      <c r="C389" s="185" t="n"/>
      <c r="D389" s="188" t="n"/>
      <c r="E389" s="185" t="n"/>
      <c r="F389" s="185" t="n"/>
      <c r="G389" s="94" t="n">
        <v>4</v>
      </c>
      <c r="H389" s="190" t="n"/>
      <c r="I389" s="183">
        <f>+G389*H389</f>
        <v/>
      </c>
      <c r="J389" s="61" t="n"/>
      <c r="K389" s="61" t="n"/>
      <c r="L389" s="61" t="n"/>
      <c r="M389" s="61" t="n"/>
      <c r="N389" s="61" t="n"/>
      <c r="O389" s="61" t="n"/>
      <c r="P389" s="61" t="n"/>
    </row>
    <row r="390" ht="28.8" customHeight="1">
      <c r="B390" s="90" t="n">
        <v>46212</v>
      </c>
      <c r="C390" s="61" t="n">
        <v>189</v>
      </c>
      <c r="D390" s="100" t="inlineStr">
        <is>
          <t>C6 Blok -4.80 kotunda, nem ve küf oluşumu nedeniyle hasar gören alçıpan duvarlar sökülerek gerekli düzeltmeler yapılmıştır.</t>
        </is>
      </c>
      <c r="E390" s="61" t="inlineStr">
        <is>
          <t>4 Usta
4 Usta Yard.</t>
        </is>
      </c>
      <c r="F390" s="61" t="inlineStr">
        <is>
          <t>yevmiye</t>
        </is>
      </c>
      <c r="G390" s="94" t="n">
        <v>4</v>
      </c>
      <c r="H390" s="190" t="n"/>
      <c r="I390" s="183">
        <f>+G390*H390</f>
        <v/>
      </c>
      <c r="J390" s="61" t="inlineStr">
        <is>
          <t>FX Ultra Alçıpan</t>
        </is>
      </c>
      <c r="K390" s="61" t="inlineStr">
        <is>
          <t>m²</t>
        </is>
      </c>
      <c r="L390" s="61" t="n">
        <v>132</v>
      </c>
      <c r="M390" s="61" t="n"/>
      <c r="N390" s="61" t="n"/>
      <c r="O390" s="61" t="n"/>
      <c r="P390" s="61" t="n"/>
    </row>
    <row r="391" ht="28.8" customHeight="1">
      <c r="B391" s="188" t="n"/>
      <c r="C391" s="185" t="n"/>
      <c r="D391" s="188" t="n"/>
      <c r="E391" s="185" t="n"/>
      <c r="F391" s="185" t="n"/>
      <c r="G391" s="94" t="n">
        <v>4</v>
      </c>
      <c r="H391" s="190" t="n"/>
      <c r="I391" s="183">
        <f>+G391*H391</f>
        <v/>
      </c>
      <c r="J391" s="61" t="n"/>
      <c r="K391" s="61" t="n"/>
      <c r="L391" s="61" t="n"/>
      <c r="M391" s="61" t="n"/>
      <c r="N391" s="61" t="n"/>
      <c r="O391" s="61" t="n"/>
      <c r="P391" s="61" t="n"/>
    </row>
    <row r="392" ht="28.8" customHeight="1">
      <c r="B392" s="90" t="n">
        <v>46213</v>
      </c>
      <c r="C392" s="61" t="n">
        <v>190</v>
      </c>
      <c r="D392" s="100" t="inlineStr">
        <is>
          <t>C6 Blok -4.80 kotunda, nem ve küf oluşumu nedeniyle hasar gören alçıpan duvarlar sökülerek gerekli düzeltmeler yapılmıştır.</t>
        </is>
      </c>
      <c r="E392" s="61" t="inlineStr">
        <is>
          <t>4 Usta
4 Usta Yard.</t>
        </is>
      </c>
      <c r="F392" s="61" t="inlineStr">
        <is>
          <t>yevmiye</t>
        </is>
      </c>
      <c r="G392" s="94" t="n">
        <v>4</v>
      </c>
      <c r="H392" s="190" t="n"/>
      <c r="I392" s="183">
        <f>+G392*H392</f>
        <v/>
      </c>
      <c r="J392" s="61" t="inlineStr">
        <is>
          <t>FX Ultra Alçıpan</t>
        </is>
      </c>
      <c r="K392" s="61" t="inlineStr">
        <is>
          <t>m²</t>
        </is>
      </c>
      <c r="L392" s="61" t="n">
        <v>110.88</v>
      </c>
      <c r="M392" s="61" t="n"/>
      <c r="N392" s="61" t="n"/>
      <c r="O392" s="61" t="n"/>
      <c r="P392" s="61" t="n"/>
    </row>
    <row r="393" ht="28.8" customHeight="1">
      <c r="B393" s="188" t="n"/>
      <c r="C393" s="185" t="n"/>
      <c r="D393" s="188" t="n"/>
      <c r="E393" s="185" t="n"/>
      <c r="F393" s="185" t="n"/>
      <c r="G393" s="94" t="n">
        <v>4</v>
      </c>
      <c r="H393" s="190" t="n"/>
      <c r="I393" s="183">
        <f>+G393*H393</f>
        <v/>
      </c>
      <c r="J393" s="61" t="n"/>
      <c r="K393" s="61" t="n"/>
      <c r="L393" s="61" t="n"/>
      <c r="M393" s="61" t="n"/>
      <c r="N393" s="61" t="n"/>
      <c r="O393" s="61" t="n"/>
      <c r="P393" s="61" t="n"/>
    </row>
    <row r="394" ht="28.8" customHeight="1">
      <c r="B394" s="90" t="n">
        <v>46213</v>
      </c>
      <c r="C394" s="61" t="n">
        <v>191</v>
      </c>
      <c r="D394" s="100" t="inlineStr">
        <is>
          <t>C5 Blok 0.20 kotunda, hasar gören alçıpan duvarların sökümü yapılarak, alçıpan duvarlar tarafımızca yeniden yapılmıştır.</t>
        </is>
      </c>
      <c r="E394" s="61" t="inlineStr">
        <is>
          <t>2 Usta
2 Usta Yard.</t>
        </is>
      </c>
      <c r="F394" s="61" t="inlineStr">
        <is>
          <t>yevmiye</t>
        </is>
      </c>
      <c r="G394" s="94" t="n">
        <v>2</v>
      </c>
      <c r="H394" s="190" t="n"/>
      <c r="I394" s="183">
        <f>+G394*H394</f>
        <v/>
      </c>
      <c r="J394" s="61" t="inlineStr">
        <is>
          <t>FX Ultra Alçıpan</t>
        </is>
      </c>
      <c r="K394" s="61" t="inlineStr">
        <is>
          <t>m²</t>
        </is>
      </c>
      <c r="L394" s="61" t="n">
        <v>26.4</v>
      </c>
      <c r="M394" s="61" t="n"/>
      <c r="N394" s="61" t="n"/>
      <c r="O394" s="61" t="n"/>
      <c r="P394" s="61" t="n"/>
    </row>
    <row r="395" ht="28.8" customHeight="1">
      <c r="B395" s="188" t="n"/>
      <c r="C395" s="185" t="n"/>
      <c r="D395" s="188" t="n"/>
      <c r="E395" s="185" t="n"/>
      <c r="F395" s="185" t="n"/>
      <c r="G395" s="94" t="n">
        <v>2</v>
      </c>
      <c r="H395" s="190" t="n"/>
      <c r="I395" s="183">
        <f>+G395*H395</f>
        <v/>
      </c>
      <c r="J395" s="61" t="n"/>
      <c r="K395" s="61" t="n"/>
      <c r="L395" s="61" t="n"/>
      <c r="M395" s="61" t="n"/>
      <c r="N395" s="61" t="n"/>
      <c r="O395" s="61" t="n"/>
      <c r="P395" s="61" t="n"/>
    </row>
    <row r="396" ht="28.8" customHeight="1">
      <c r="B396" s="90" t="n">
        <v>46214</v>
      </c>
      <c r="C396" s="61" t="n">
        <v>192</v>
      </c>
      <c r="D396" s="100" t="inlineStr">
        <is>
          <t>C3 Blok 20.20 kotunda, ankara aliminyum firması kata malzeme alırken asma tavan profilleri zarar görmüş, tarafımızca sökülerek gerekli düzeltmeler yapılmıştır.</t>
        </is>
      </c>
      <c r="E396" s="61" t="inlineStr">
        <is>
          <t>1 Usta
1 Usta Yard.</t>
        </is>
      </c>
      <c r="F396" s="61" t="inlineStr">
        <is>
          <t>yevmiye</t>
        </is>
      </c>
      <c r="G396" s="94" t="n">
        <v>1</v>
      </c>
      <c r="H396" s="190" t="n"/>
      <c r="I396" s="183">
        <f>+G396*H396</f>
        <v/>
      </c>
      <c r="J396" s="61" t="inlineStr">
        <is>
          <t>40*40*2 mm Kutu Profil</t>
        </is>
      </c>
      <c r="K396" s="61" t="inlineStr">
        <is>
          <t>m</t>
        </is>
      </c>
      <c r="L396" s="61" t="n">
        <v>6</v>
      </c>
      <c r="M396" s="61" t="n"/>
      <c r="N396" s="61" t="n"/>
      <c r="O396" s="61" t="n"/>
      <c r="P396" s="61" t="n"/>
    </row>
    <row r="397" ht="28.8" customHeight="1">
      <c r="B397" s="188" t="n"/>
      <c r="C397" s="185" t="n"/>
      <c r="D397" s="188" t="n"/>
      <c r="E397" s="185" t="n"/>
      <c r="F397" s="185" t="n"/>
      <c r="G397" s="94" t="n">
        <v>1</v>
      </c>
      <c r="H397" s="190" t="n"/>
      <c r="I397" s="183">
        <f>+G397*H397</f>
        <v/>
      </c>
      <c r="J397" s="61" t="n"/>
      <c r="K397" s="61" t="n"/>
      <c r="L397" s="61" t="n"/>
      <c r="M397" s="61" t="n"/>
      <c r="N397" s="61" t="n"/>
      <c r="O397" s="61" t="n"/>
      <c r="P397" s="61" t="n"/>
    </row>
    <row r="398" ht="28.8" customHeight="1">
      <c r="B398" s="90" t="n">
        <v>46214</v>
      </c>
      <c r="C398" s="61" t="n">
        <v>193</v>
      </c>
      <c r="D398" s="100" t="inlineStr">
        <is>
          <t>C6 Blok -4.80 kotunda, nem ve küf oluşumu nedeniyle hasar gören alçıpan duvarlar sökülerek gerekli düzeltmeler yapılmıştır.</t>
        </is>
      </c>
      <c r="E398" s="61" t="inlineStr">
        <is>
          <t>4 Usta
4 Usta Yard.</t>
        </is>
      </c>
      <c r="F398" s="61" t="inlineStr">
        <is>
          <t>yevmiye</t>
        </is>
      </c>
      <c r="G398" s="94" t="n">
        <v>4</v>
      </c>
      <c r="H398" s="190" t="n"/>
      <c r="I398" s="183">
        <f>+G398*H398</f>
        <v/>
      </c>
      <c r="J398" s="61" t="inlineStr">
        <is>
          <t>FX Ultra Alçıpan</t>
        </is>
      </c>
      <c r="K398" s="61" t="inlineStr">
        <is>
          <t>m²</t>
        </is>
      </c>
      <c r="L398" s="61" t="n">
        <v>110.88</v>
      </c>
      <c r="M398" s="61" t="n"/>
      <c r="N398" s="61" t="n"/>
      <c r="O398" s="61" t="n"/>
      <c r="P398" s="61" t="n"/>
    </row>
    <row r="399" ht="28.8" customHeight="1">
      <c r="B399" s="188" t="n"/>
      <c r="C399" s="185" t="n"/>
      <c r="D399" s="188" t="n"/>
      <c r="E399" s="185" t="n"/>
      <c r="F399" s="185" t="n"/>
      <c r="G399" s="94" t="n">
        <v>4</v>
      </c>
      <c r="H399" s="190" t="n"/>
      <c r="I399" s="183">
        <f>+G399*H399</f>
        <v/>
      </c>
      <c r="J399" s="61" t="n"/>
      <c r="K399" s="61" t="n"/>
      <c r="L399" s="61" t="n"/>
      <c r="M399" s="61" t="n"/>
      <c r="N399" s="61" t="n"/>
      <c r="O399" s="61" t="n"/>
      <c r="P399" s="61" t="n"/>
    </row>
    <row r="400" ht="28.8" customHeight="1">
      <c r="B400" s="90" t="n">
        <v>46215</v>
      </c>
      <c r="C400" s="61" t="n">
        <v>194</v>
      </c>
      <c r="D400" s="100" t="inlineStr">
        <is>
          <t>C6 Blok -4.80 kotunda, nem ve küf oluşumu nedeniyle hasar gören alçıpan duvarlar sökülerek gerekli düzeltmeler yapılmıştır.</t>
        </is>
      </c>
      <c r="E400" s="61" t="inlineStr">
        <is>
          <t>4 Usta
4 Usta Yard.</t>
        </is>
      </c>
      <c r="F400" s="61" t="inlineStr">
        <is>
          <t>yevmiye</t>
        </is>
      </c>
      <c r="G400" s="94" t="n">
        <v>4</v>
      </c>
      <c r="H400" s="190" t="n"/>
      <c r="I400" s="183">
        <f>+G400*H400</f>
        <v/>
      </c>
      <c r="J400" s="61" t="inlineStr">
        <is>
          <t>FX Ultra Alçıpan</t>
        </is>
      </c>
      <c r="K400" s="61" t="inlineStr">
        <is>
          <t>m²</t>
        </is>
      </c>
      <c r="L400" s="61" t="n">
        <v>126.72</v>
      </c>
      <c r="M400" s="61" t="n"/>
      <c r="N400" s="61" t="n"/>
      <c r="O400" s="61" t="n"/>
      <c r="P400" s="61" t="n"/>
    </row>
    <row r="401" ht="28.8" customHeight="1">
      <c r="B401" s="188" t="n"/>
      <c r="C401" s="185" t="n"/>
      <c r="D401" s="188" t="n"/>
      <c r="E401" s="185" t="n"/>
      <c r="F401" s="185" t="n"/>
      <c r="G401" s="94" t="n">
        <v>4</v>
      </c>
      <c r="H401" s="190" t="n"/>
      <c r="I401" s="183">
        <f>+G401*H401</f>
        <v/>
      </c>
      <c r="J401" s="61" t="n"/>
      <c r="K401" s="61" t="n"/>
      <c r="L401" s="61" t="n"/>
      <c r="M401" s="61" t="n"/>
      <c r="N401" s="61" t="n"/>
      <c r="O401" s="61" t="n"/>
      <c r="P401" s="61" t="n"/>
    </row>
    <row r="402" ht="28.8" customHeight="1">
      <c r="B402" s="90" t="n">
        <v>46216</v>
      </c>
      <c r="C402" s="61" t="n">
        <v>195</v>
      </c>
      <c r="D402" s="100" t="inlineStr">
        <is>
          <t>C6 Blok -4.80 kotunda, nem ve küf oluşumu nedeniyle hasar gören alçıpan duvarlar sökülerek gerekli düzeltmeler yapılmıştır.</t>
        </is>
      </c>
      <c r="E402" s="61" t="inlineStr">
        <is>
          <t>4 Usta
4 Usta Yard.</t>
        </is>
      </c>
      <c r="F402" s="61" t="inlineStr">
        <is>
          <t>yevmiye</t>
        </is>
      </c>
      <c r="G402" s="94" t="n">
        <v>4</v>
      </c>
      <c r="H402" s="190" t="n"/>
      <c r="I402" s="183">
        <f>+G402*H402</f>
        <v/>
      </c>
      <c r="J402" s="61" t="inlineStr">
        <is>
          <t>FX Ultra Alçıpan</t>
        </is>
      </c>
      <c r="K402" s="61" t="inlineStr">
        <is>
          <t>m²</t>
        </is>
      </c>
      <c r="L402" s="61" t="n">
        <v>126.72</v>
      </c>
      <c r="M402" s="61" t="n"/>
      <c r="N402" s="61" t="n"/>
      <c r="O402" s="61" t="n"/>
      <c r="P402" s="61" t="n"/>
    </row>
    <row r="403" ht="28.8" customHeight="1">
      <c r="B403" s="188" t="n"/>
      <c r="C403" s="185" t="n"/>
      <c r="D403" s="188" t="n"/>
      <c r="E403" s="185" t="n"/>
      <c r="F403" s="185" t="n"/>
      <c r="G403" s="94" t="n">
        <v>4</v>
      </c>
      <c r="H403" s="190" t="n"/>
      <c r="I403" s="183">
        <f>+G403*H403</f>
        <v/>
      </c>
      <c r="J403" s="61" t="n"/>
      <c r="K403" s="61" t="n"/>
      <c r="L403" s="61" t="n"/>
      <c r="M403" s="61" t="n"/>
      <c r="N403" s="61" t="n"/>
      <c r="O403" s="61" t="n"/>
      <c r="P403" s="61" t="n"/>
    </row>
    <row r="404" ht="28.8" customHeight="1">
      <c r="B404" s="90" t="n">
        <v>46217</v>
      </c>
      <c r="C404" s="61" t="n">
        <v>196</v>
      </c>
      <c r="D404" s="100" t="inlineStr">
        <is>
          <t>C6 Blok -4.80 kotunda, nem ve küf oluşumu nedeniyle hasar gören alçıpan duvarlar sökülerek gerekli düzeltmeler yapılmıştır.</t>
        </is>
      </c>
      <c r="E404" s="61" t="inlineStr">
        <is>
          <t>4 Usta
4 Usta Yard.</t>
        </is>
      </c>
      <c r="F404" s="61" t="inlineStr">
        <is>
          <t>yevmiye</t>
        </is>
      </c>
      <c r="G404" s="94" t="n">
        <v>4</v>
      </c>
      <c r="H404" s="190" t="n"/>
      <c r="I404" s="183">
        <f>+G404*H404</f>
        <v/>
      </c>
      <c r="J404" s="61" t="inlineStr">
        <is>
          <t>FX Ultra Alçıpan</t>
        </is>
      </c>
      <c r="K404" s="61" t="inlineStr">
        <is>
          <t>m²</t>
        </is>
      </c>
      <c r="L404" s="61" t="n">
        <v>126.72</v>
      </c>
      <c r="M404" s="61" t="n"/>
      <c r="N404" s="61" t="n"/>
      <c r="O404" s="61" t="n"/>
      <c r="P404" s="61" t="n"/>
    </row>
    <row r="405" ht="28.8" customHeight="1">
      <c r="B405" s="188" t="n"/>
      <c r="C405" s="185" t="n"/>
      <c r="D405" s="188" t="n"/>
      <c r="E405" s="185" t="n"/>
      <c r="F405" s="185" t="n"/>
      <c r="G405" s="94" t="n">
        <v>4</v>
      </c>
      <c r="H405" s="190" t="n"/>
      <c r="I405" s="183">
        <f>+G405*H405</f>
        <v/>
      </c>
      <c r="J405" s="61" t="n"/>
      <c r="K405" s="61" t="n"/>
      <c r="L405" s="61" t="n"/>
      <c r="M405" s="61" t="n"/>
      <c r="N405" s="61" t="n"/>
      <c r="O405" s="61" t="n"/>
      <c r="P405" s="61" t="n"/>
    </row>
    <row r="406" ht="28.8" customHeight="1">
      <c r="B406" s="90" t="n">
        <v>46217</v>
      </c>
      <c r="C406" s="61" t="n">
        <v>197</v>
      </c>
      <c r="D406" s="100" t="inlineStr">
        <is>
          <t>C5 Blok 0.20 kotunda, hasar gören alçıpan duvarlar sökülerek gerekli düzeltmeler yapılmıştır.</t>
        </is>
      </c>
      <c r="E406" s="61" t="inlineStr">
        <is>
          <t>2 Usta
2 Usta Yard.</t>
        </is>
      </c>
      <c r="F406" s="61" t="inlineStr">
        <is>
          <t>yevmiye</t>
        </is>
      </c>
      <c r="G406" s="94" t="n">
        <v>2</v>
      </c>
      <c r="H406" s="190" t="n"/>
      <c r="I406" s="183">
        <f>+G406*H406</f>
        <v/>
      </c>
      <c r="J406" s="61" t="n"/>
      <c r="K406" s="61" t="n"/>
      <c r="L406" s="61" t="n"/>
      <c r="M406" s="61" t="n"/>
      <c r="N406" s="61" t="n"/>
      <c r="O406" s="61" t="n"/>
      <c r="P406" s="61" t="n"/>
    </row>
    <row r="407" ht="28.8" customHeight="1">
      <c r="B407" s="188" t="n"/>
      <c r="C407" s="185" t="n"/>
      <c r="D407" s="188" t="n"/>
      <c r="E407" s="185" t="n"/>
      <c r="F407" s="185" t="n"/>
      <c r="G407" s="94" t="n">
        <v>2</v>
      </c>
      <c r="H407" s="190" t="n"/>
      <c r="I407" s="183">
        <f>+G407*H407</f>
        <v/>
      </c>
      <c r="J407" s="61" t="n"/>
      <c r="K407" s="61" t="n"/>
      <c r="L407" s="61" t="n"/>
      <c r="M407" s="61" t="n"/>
      <c r="N407" s="61" t="n"/>
      <c r="O407" s="61" t="n"/>
      <c r="P407" s="61" t="n"/>
    </row>
    <row r="408" ht="28.8" customHeight="1">
      <c r="B408" s="90" t="n">
        <v>46218</v>
      </c>
      <c r="C408" s="61" t="n">
        <v>198</v>
      </c>
      <c r="D408" s="100" t="inlineStr">
        <is>
          <t>C6 Blok -4.80 kotunda, nem ve küf oluşumu nedeniyle hasar gören alçıpan duvarlar sökülerek gerekli düzeltmeler yapılmıştır.</t>
        </is>
      </c>
      <c r="E408" s="61" t="inlineStr">
        <is>
          <t>4 Usta
4 Usta Yard.</t>
        </is>
      </c>
      <c r="F408" s="61" t="inlineStr">
        <is>
          <t>yevmiye</t>
        </is>
      </c>
      <c r="G408" s="94" t="n">
        <v>4</v>
      </c>
      <c r="H408" s="190" t="n"/>
      <c r="I408" s="183">
        <f>+G408*H408</f>
        <v/>
      </c>
      <c r="J408" s="61" t="inlineStr">
        <is>
          <t>FX Ultra Alçıpan</t>
        </is>
      </c>
      <c r="K408" s="61" t="inlineStr">
        <is>
          <t>m²</t>
        </is>
      </c>
      <c r="L408" s="61" t="n">
        <v>110.88</v>
      </c>
      <c r="M408" s="61" t="n"/>
      <c r="N408" s="61" t="n"/>
      <c r="O408" s="61" t="n"/>
      <c r="P408" s="61" t="n"/>
    </row>
    <row r="409" ht="28.8" customHeight="1">
      <c r="B409" s="188" t="n"/>
      <c r="C409" s="185" t="n"/>
      <c r="D409" s="188" t="n"/>
      <c r="E409" s="185" t="n"/>
      <c r="F409" s="185" t="n"/>
      <c r="G409" s="94" t="n">
        <v>4</v>
      </c>
      <c r="H409" s="190" t="n"/>
      <c r="I409" s="183">
        <f>+G409*H409</f>
        <v/>
      </c>
      <c r="J409" s="61" t="n"/>
      <c r="K409" s="61" t="n"/>
      <c r="L409" s="61" t="n"/>
      <c r="M409" s="61" t="n"/>
      <c r="N409" s="61" t="n"/>
      <c r="O409" s="61" t="n"/>
      <c r="P409" s="61" t="n"/>
    </row>
    <row r="410" ht="28.8" customHeight="1">
      <c r="B410" s="90" t="n">
        <v>46219</v>
      </c>
      <c r="C410" s="61" t="n">
        <v>199</v>
      </c>
      <c r="D410" s="100" t="inlineStr">
        <is>
          <t>C6 Blok -4.80 kotunda, nem ve küf oluşumu nedeniyle hasar gören alçıpan duvarlar sökülerek gerekli düzeltmeler yapılmıştır.</t>
        </is>
      </c>
      <c r="E410" s="61" t="inlineStr">
        <is>
          <t>4 Usta
4 Usta Yard.</t>
        </is>
      </c>
      <c r="F410" s="61" t="inlineStr">
        <is>
          <t>yevmiye</t>
        </is>
      </c>
      <c r="G410" s="94" t="n">
        <v>4</v>
      </c>
      <c r="H410" s="190" t="n"/>
      <c r="I410" s="183">
        <f>+G410*H410</f>
        <v/>
      </c>
      <c r="J410" s="61" t="inlineStr">
        <is>
          <t>FX Ultra Alçıpan</t>
        </is>
      </c>
      <c r="K410" s="61" t="inlineStr">
        <is>
          <t>m²</t>
        </is>
      </c>
      <c r="L410" s="61" t="n">
        <v>121.44</v>
      </c>
      <c r="M410" s="61" t="n"/>
      <c r="N410" s="61" t="n"/>
      <c r="O410" s="61" t="n"/>
      <c r="P410" s="61" t="n"/>
    </row>
    <row r="411" ht="28.8" customHeight="1">
      <c r="B411" s="188" t="n"/>
      <c r="C411" s="185" t="n"/>
      <c r="D411" s="188" t="n"/>
      <c r="E411" s="185" t="n"/>
      <c r="F411" s="185" t="n"/>
      <c r="G411" s="94" t="n">
        <v>4</v>
      </c>
      <c r="H411" s="190" t="n"/>
      <c r="I411" s="183">
        <f>+G411*H411</f>
        <v/>
      </c>
      <c r="J411" s="61" t="n"/>
      <c r="K411" s="61" t="n"/>
      <c r="L411" s="61" t="n"/>
      <c r="M411" s="61" t="n"/>
      <c r="N411" s="61" t="n"/>
      <c r="O411" s="61" t="n"/>
      <c r="P411" s="61" t="n"/>
    </row>
    <row r="412" ht="28.8" customHeight="1">
      <c r="B412" s="90" t="n">
        <v>46219</v>
      </c>
      <c r="C412" s="61" t="n">
        <v>200</v>
      </c>
      <c r="D412" s="100" t="inlineStr">
        <is>
          <t>C5 Blok 5.20 kotunda, hasar gören alçıpan duvarlar sökülerek gerekli düzeltmeler yapılmıştır.</t>
        </is>
      </c>
      <c r="E412" s="61" t="inlineStr">
        <is>
          <t>3 Usta
3 Usta Yard.</t>
        </is>
      </c>
      <c r="F412" s="61" t="inlineStr">
        <is>
          <t>yevmiye</t>
        </is>
      </c>
      <c r="G412" s="94" t="n">
        <v>3</v>
      </c>
      <c r="H412" s="190" t="n"/>
      <c r="I412" s="183">
        <f>+G412*H412</f>
        <v/>
      </c>
      <c r="J412" s="61" t="inlineStr">
        <is>
          <t>FX Ultra Alçıpan</t>
        </is>
      </c>
      <c r="K412" s="61" t="inlineStr">
        <is>
          <t>m²</t>
        </is>
      </c>
      <c r="L412" s="61" t="n">
        <v>42.24</v>
      </c>
      <c r="M412" s="61" t="n"/>
      <c r="N412" s="61" t="n"/>
      <c r="O412" s="61" t="n"/>
      <c r="P412" s="61" t="n"/>
    </row>
    <row r="413" ht="28.8" customHeight="1">
      <c r="B413" s="188" t="n"/>
      <c r="C413" s="185" t="n"/>
      <c r="D413" s="188" t="n"/>
      <c r="E413" s="185" t="n"/>
      <c r="F413" s="185" t="n"/>
      <c r="G413" s="94" t="n">
        <v>3</v>
      </c>
      <c r="H413" s="190" t="n"/>
      <c r="I413" s="183">
        <f>+G413*H413</f>
        <v/>
      </c>
      <c r="J413" s="61" t="n"/>
      <c r="K413" s="61" t="n"/>
      <c r="L413" s="61" t="n"/>
      <c r="M413" s="61" t="n"/>
      <c r="N413" s="61" t="n"/>
      <c r="O413" s="61" t="n"/>
      <c r="P413" s="61" t="n"/>
    </row>
    <row r="414" ht="28.8" customHeight="1">
      <c r="B414" s="90" t="n">
        <v>46218</v>
      </c>
      <c r="C414" s="61" t="n">
        <v>201</v>
      </c>
      <c r="D414" s="100" t="inlineStr">
        <is>
          <t>C5 Blok 5.20 kotunda, bulunan metal asma tavan panellerine mekanik çalışmaları sırasında manlift ile zarar verilmiştir. 30*130 panellerden 11.7 m2 (3 kutu) zarar görmüştür.</t>
        </is>
      </c>
      <c r="E414" s="61" t="n"/>
      <c r="F414" s="61" t="n"/>
      <c r="G414" s="94" t="n"/>
      <c r="H414" s="190" t="n"/>
      <c r="I414" s="183" t="n"/>
      <c r="J414" s="61" t="inlineStr">
        <is>
          <t>30*130 metal asma tavan</t>
        </is>
      </c>
      <c r="K414" s="61" t="inlineStr">
        <is>
          <t>m²</t>
        </is>
      </c>
      <c r="L414" s="61" t="n">
        <v>11.7</v>
      </c>
      <c r="M414" s="61" t="n"/>
      <c r="N414" s="61" t="n"/>
      <c r="O414" s="61" t="n"/>
      <c r="P414" s="61" t="n"/>
    </row>
    <row r="415" ht="28.8" customHeight="1">
      <c r="B415" s="90" t="n">
        <v>46219</v>
      </c>
      <c r="C415" s="61" t="n">
        <v>202</v>
      </c>
      <c r="D415" s="100" t="inlineStr">
        <is>
          <t>C5 Blok 0.20 kotunda, hasar gören alçıpan duvarlar sökülerek gerekli düzeltmeler yapılmıştır.</t>
        </is>
      </c>
      <c r="E415" s="61" t="inlineStr">
        <is>
          <t>2 Usta
2 Usta Yard.</t>
        </is>
      </c>
      <c r="F415" s="61" t="inlineStr">
        <is>
          <t>yevmiye</t>
        </is>
      </c>
      <c r="G415" s="94" t="n">
        <v>2</v>
      </c>
      <c r="H415" s="190" t="n"/>
      <c r="I415" s="183">
        <f>+G415*H415</f>
        <v/>
      </c>
      <c r="J415" s="61" t="inlineStr">
        <is>
          <t>FX Ultra Alçıpan</t>
        </is>
      </c>
      <c r="K415" s="61" t="inlineStr">
        <is>
          <t>m²</t>
        </is>
      </c>
      <c r="L415" s="61" t="n">
        <v>26.4</v>
      </c>
      <c r="M415" s="61" t="n"/>
      <c r="N415" s="61" t="n"/>
      <c r="O415" s="61" t="n"/>
      <c r="P415" s="61" t="n"/>
    </row>
    <row r="416" ht="28.8" customHeight="1">
      <c r="B416" s="188" t="n"/>
      <c r="C416" s="185" t="n"/>
      <c r="D416" s="188" t="n"/>
      <c r="E416" s="185" t="n"/>
      <c r="F416" s="185" t="n"/>
      <c r="G416" s="94" t="n">
        <v>2</v>
      </c>
      <c r="H416" s="190" t="n"/>
      <c r="I416" s="183">
        <f>+G416*H416</f>
        <v/>
      </c>
      <c r="J416" s="61" t="n"/>
      <c r="K416" s="61" t="n"/>
      <c r="L416" s="61" t="n"/>
      <c r="M416" s="61" t="n"/>
      <c r="N416" s="61" t="n"/>
      <c r="O416" s="61" t="n"/>
      <c r="P416" s="61" t="n"/>
    </row>
    <row r="417" ht="28.8" customHeight="1">
      <c r="B417" s="90" t="n">
        <v>46220</v>
      </c>
      <c r="C417" s="61" t="n">
        <v>203</v>
      </c>
      <c r="D417" s="100" t="inlineStr">
        <is>
          <t>C5 Blok 0.20 kotunda, hasar gören alçıpan duvarlar sökülerek gerekli düzeltmeler yapılmıştır.</t>
        </is>
      </c>
      <c r="E417" s="61" t="inlineStr">
        <is>
          <t>3 Usta
3 Usta Yard.</t>
        </is>
      </c>
      <c r="F417" s="61" t="inlineStr">
        <is>
          <t>yevmiye</t>
        </is>
      </c>
      <c r="G417" s="94" t="n">
        <v>3</v>
      </c>
      <c r="H417" s="190" t="n"/>
      <c r="I417" s="183">
        <f>+G417*H417</f>
        <v/>
      </c>
      <c r="J417" s="61" t="inlineStr">
        <is>
          <t>FX Ultra Alçıpan</t>
        </is>
      </c>
      <c r="K417" s="61" t="inlineStr">
        <is>
          <t>m²</t>
        </is>
      </c>
      <c r="L417" s="61" t="n">
        <v>34.32</v>
      </c>
      <c r="M417" s="61" t="n"/>
      <c r="N417" s="61" t="n"/>
      <c r="O417" s="61" t="n"/>
      <c r="P417" s="61" t="n"/>
    </row>
    <row r="418" ht="28.8" customHeight="1">
      <c r="B418" s="188" t="n"/>
      <c r="C418" s="185" t="n"/>
      <c r="D418" s="188" t="n"/>
      <c r="E418" s="185" t="n"/>
      <c r="F418" s="185" t="n"/>
      <c r="G418" s="94" t="n">
        <v>3</v>
      </c>
      <c r="H418" s="190" t="n"/>
      <c r="I418" s="183">
        <f>+G418*H418</f>
        <v/>
      </c>
      <c r="J418" s="61" t="n"/>
      <c r="K418" s="61" t="n"/>
      <c r="L418" s="61" t="n"/>
      <c r="M418" s="61" t="n"/>
      <c r="N418" s="61" t="n"/>
      <c r="O418" s="61" t="n"/>
      <c r="P418" s="61" t="n"/>
    </row>
    <row r="419" ht="28.8" customHeight="1">
      <c r="B419" s="90" t="n">
        <v>46220</v>
      </c>
      <c r="C419" s="61" t="n">
        <v>204</v>
      </c>
      <c r="D419" s="100" t="inlineStr">
        <is>
          <t>C6 Blok -4.80 kotunda, nem ve küf oluşumu nedeniyle hasar gören alçıpan duvarlar sökülerek gerekli düzeltmeler yapılmıştır.</t>
        </is>
      </c>
      <c r="E419" s="61" t="inlineStr">
        <is>
          <t>4 Usta
4 Usta Yard.</t>
        </is>
      </c>
      <c r="F419" s="61" t="inlineStr">
        <is>
          <t>yevmiye</t>
        </is>
      </c>
      <c r="G419" s="94" t="n">
        <v>4</v>
      </c>
      <c r="H419" s="190" t="n"/>
      <c r="I419" s="183">
        <f>+G419*H419</f>
        <v/>
      </c>
      <c r="J419" s="61" t="inlineStr">
        <is>
          <t>FX Ultra Alçıpan</t>
        </is>
      </c>
      <c r="K419" s="61" t="inlineStr">
        <is>
          <t>m²</t>
        </is>
      </c>
      <c r="L419" s="61" t="n">
        <v>134.64</v>
      </c>
      <c r="M419" s="61" t="n"/>
      <c r="N419" s="61" t="n"/>
      <c r="O419" s="61" t="n"/>
      <c r="P419" s="61" t="n"/>
    </row>
    <row r="420" ht="28.8" customHeight="1">
      <c r="B420" s="188" t="n"/>
      <c r="C420" s="185" t="n"/>
      <c r="D420" s="188" t="n"/>
      <c r="E420" s="185" t="n"/>
      <c r="F420" s="185" t="n"/>
      <c r="G420" s="94" t="n">
        <v>4</v>
      </c>
      <c r="H420" s="190" t="n"/>
      <c r="I420" s="183">
        <f>+G420*H420</f>
        <v/>
      </c>
      <c r="J420" s="61" t="n"/>
      <c r="K420" s="61" t="n"/>
      <c r="L420" s="61" t="n"/>
      <c r="M420" s="61" t="n"/>
      <c r="N420" s="61" t="n"/>
      <c r="O420" s="61" t="n"/>
      <c r="P420" s="61" t="n"/>
    </row>
    <row r="421" ht="28.8" customHeight="1">
      <c r="A421" t="inlineStr">
        <is>
          <t>İPTAL</t>
        </is>
      </c>
      <c r="B421" s="90" t="n">
        <v>46221</v>
      </c>
      <c r="C421" s="61" t="n">
        <v>205</v>
      </c>
      <c r="D421" s="100" t="inlineStr">
        <is>
          <t>C5 Blok YMC15 merdiveninde, elektrik biriminin çalışmaları sırasında alçı sıva ano çıtaları sökülmüştür.</t>
        </is>
      </c>
      <c r="E421" s="61" t="inlineStr">
        <is>
          <t>3 Usta</t>
        </is>
      </c>
      <c r="F421" s="61" t="inlineStr">
        <is>
          <t>yevmiye</t>
        </is>
      </c>
      <c r="G421" s="94" t="n">
        <v>3</v>
      </c>
      <c r="H421" s="190" t="n"/>
      <c r="I421" s="183" t="n"/>
      <c r="J421" s="61" t="n"/>
      <c r="K421" s="61" t="n"/>
      <c r="L421" s="61" t="n"/>
      <c r="M421" s="61" t="n"/>
      <c r="N421" s="61" t="n"/>
      <c r="O421" s="61" t="n"/>
      <c r="P421" s="61" t="n"/>
    </row>
    <row r="422" ht="28.8" customHeight="1">
      <c r="B422" s="90" t="n">
        <v>46221</v>
      </c>
      <c r="C422" s="61" t="n">
        <v>206</v>
      </c>
      <c r="D422" s="100" t="inlineStr">
        <is>
          <t>C6 Blok -4.80 kotunda, nem ve küf oluşumu nedeniyle hasar gören alçıpan duvarlar sökülerek gerekli düzeltmeler yapılmıştır.</t>
        </is>
      </c>
      <c r="E422" s="61" t="inlineStr">
        <is>
          <t>4 Usta
4 Usta Yard.</t>
        </is>
      </c>
      <c r="F422" s="61" t="inlineStr">
        <is>
          <t>yevmiye</t>
        </is>
      </c>
      <c r="G422" s="94" t="n">
        <v>4</v>
      </c>
      <c r="H422" s="190" t="n"/>
      <c r="I422" s="183">
        <f>+G422*H422</f>
        <v/>
      </c>
      <c r="J422" s="61" t="inlineStr">
        <is>
          <t>FX Ultra Alçıpan</t>
        </is>
      </c>
      <c r="K422" s="61" t="inlineStr">
        <is>
          <t>m²</t>
        </is>
      </c>
      <c r="L422" s="61" t="n">
        <v>145.2</v>
      </c>
      <c r="M422" s="61" t="n"/>
      <c r="N422" s="61" t="n"/>
      <c r="O422" s="61" t="n"/>
      <c r="P422" s="61" t="n"/>
    </row>
    <row r="423" ht="28.8" customHeight="1">
      <c r="B423" s="188" t="n"/>
      <c r="C423" s="185" t="n"/>
      <c r="D423" s="188" t="n"/>
      <c r="E423" s="185" t="n"/>
      <c r="F423" s="185" t="n"/>
      <c r="G423" s="94" t="n">
        <v>4</v>
      </c>
      <c r="H423" s="190" t="n"/>
      <c r="I423" s="183">
        <f>+G423*H423</f>
        <v/>
      </c>
      <c r="J423" s="61" t="n"/>
      <c r="K423" s="61" t="n"/>
      <c r="L423" s="61" t="n"/>
      <c r="M423" s="61" t="n"/>
      <c r="N423" s="61" t="n"/>
      <c r="O423" s="61" t="n"/>
      <c r="P423" s="61" t="n"/>
    </row>
    <row r="424" ht="28.8" customHeight="1">
      <c r="B424" s="90" t="n">
        <v>46221</v>
      </c>
      <c r="C424" s="61" t="n">
        <v>207</v>
      </c>
      <c r="D424" s="100" t="inlineStr">
        <is>
          <t>C5 Blok 0.20 kotunda, hasar gören alçıpan duvarlar sökülerek gerekli düzeltmeler yapılmıştır.</t>
        </is>
      </c>
      <c r="E424" s="61" t="inlineStr">
        <is>
          <t>3 Usta
3 Usta Yard.</t>
        </is>
      </c>
      <c r="F424" s="61" t="inlineStr">
        <is>
          <t>yevmiye</t>
        </is>
      </c>
      <c r="G424" s="94" t="n">
        <v>3</v>
      </c>
      <c r="H424" s="190" t="n"/>
      <c r="I424" s="183">
        <f>+G424*H424</f>
        <v/>
      </c>
      <c r="J424" s="61" t="inlineStr">
        <is>
          <t>FX Ultra Alçıpan</t>
        </is>
      </c>
      <c r="K424" s="61" t="inlineStr">
        <is>
          <t>m²</t>
        </is>
      </c>
      <c r="L424" s="61" t="n">
        <v>34.32</v>
      </c>
      <c r="M424" s="61" t="n"/>
      <c r="N424" s="61" t="n"/>
      <c r="O424" s="61" t="n"/>
      <c r="P424" s="61" t="n"/>
    </row>
    <row r="425" ht="28.8" customHeight="1">
      <c r="B425" s="188" t="n"/>
      <c r="C425" s="185" t="n"/>
      <c r="D425" s="188" t="n"/>
      <c r="E425" s="185" t="n"/>
      <c r="F425" s="185" t="n"/>
      <c r="G425" s="94" t="n">
        <v>3</v>
      </c>
      <c r="H425" s="190" t="n"/>
      <c r="I425" s="183">
        <f>+G425*H425</f>
        <v/>
      </c>
      <c r="J425" s="61" t="n"/>
      <c r="K425" s="61" t="n"/>
      <c r="L425" s="61" t="n"/>
      <c r="M425" s="61" t="n"/>
      <c r="N425" s="61" t="n"/>
      <c r="O425" s="61" t="n"/>
      <c r="P425" s="61" t="n"/>
    </row>
    <row r="426" ht="28.8" customHeight="1">
      <c r="B426" s="90" t="n">
        <v>46222</v>
      </c>
      <c r="C426" s="61" t="n">
        <v>208</v>
      </c>
      <c r="D426" s="100" t="inlineStr">
        <is>
          <t>C6 Blok -4.80 kotunda, nem ve küf oluşumu nedeniyle hasar gören alçıpan duvarlar sökülerek gerekli düzeltmeler yapılmıştır.</t>
        </is>
      </c>
      <c r="E426" s="61" t="inlineStr">
        <is>
          <t>4 Usta
4 Usta Yard.</t>
        </is>
      </c>
      <c r="F426" s="61" t="inlineStr">
        <is>
          <t>yevmiye</t>
        </is>
      </c>
      <c r="G426" s="94" t="n">
        <v>4</v>
      </c>
      <c r="H426" s="190" t="n"/>
      <c r="I426" s="183">
        <f>+G426*H426</f>
        <v/>
      </c>
      <c r="J426" s="61" t="inlineStr">
        <is>
          <t>FX Ultra Alçıpan</t>
        </is>
      </c>
      <c r="K426" s="61" t="inlineStr">
        <is>
          <t>m²</t>
        </is>
      </c>
      <c r="L426" s="61" t="n">
        <v>145.2</v>
      </c>
      <c r="M426" s="61" t="n"/>
      <c r="N426" s="61" t="n"/>
      <c r="O426" s="61" t="n"/>
      <c r="P426" s="61" t="n"/>
    </row>
    <row r="427" ht="28.8" customHeight="1">
      <c r="B427" s="188" t="n"/>
      <c r="C427" s="185" t="n"/>
      <c r="D427" s="188" t="n"/>
      <c r="E427" s="185" t="n"/>
      <c r="F427" s="185" t="n"/>
      <c r="G427" s="94" t="n">
        <v>4</v>
      </c>
      <c r="H427" s="190" t="n"/>
      <c r="I427" s="183">
        <f>+G427*H427</f>
        <v/>
      </c>
      <c r="J427" s="61" t="n"/>
      <c r="K427" s="61" t="n"/>
      <c r="L427" s="61" t="n"/>
      <c r="M427" s="61" t="n"/>
      <c r="N427" s="61" t="n"/>
      <c r="O427" s="61" t="n"/>
      <c r="P427" s="61" t="n"/>
    </row>
    <row r="428" ht="28.8" customHeight="1">
      <c r="B428" s="90" t="n">
        <v>46222</v>
      </c>
      <c r="C428" s="61" t="n">
        <v>209</v>
      </c>
      <c r="D428" s="100" t="inlineStr">
        <is>
          <t>C5 Blok 0.20 kotunda, hasar gören alçıpan duvarlar sökülerek gerekli düzeltmeler yapılmıştır.</t>
        </is>
      </c>
      <c r="E428" s="61" t="inlineStr">
        <is>
          <t>3 Usta
3 Usta Yard.</t>
        </is>
      </c>
      <c r="F428" s="61" t="inlineStr">
        <is>
          <t>yevmiye</t>
        </is>
      </c>
      <c r="G428" s="94" t="n">
        <v>3</v>
      </c>
      <c r="H428" s="190" t="n"/>
      <c r="I428" s="183">
        <f>+G428*H428</f>
        <v/>
      </c>
      <c r="J428" s="61" t="inlineStr">
        <is>
          <t>FX Ultra Alçıpan</t>
        </is>
      </c>
      <c r="K428" s="61" t="inlineStr">
        <is>
          <t>m²</t>
        </is>
      </c>
      <c r="L428" s="61" t="n">
        <v>31.68</v>
      </c>
      <c r="M428" s="61" t="n"/>
      <c r="N428" s="61" t="n"/>
      <c r="O428" s="61" t="n"/>
      <c r="P428" s="61" t="n"/>
    </row>
    <row r="429" ht="28.8" customHeight="1">
      <c r="B429" s="188" t="n"/>
      <c r="C429" s="185" t="n"/>
      <c r="D429" s="188" t="n"/>
      <c r="E429" s="185" t="n"/>
      <c r="F429" s="185" t="n"/>
      <c r="G429" s="94" t="n">
        <v>3</v>
      </c>
      <c r="H429" s="190" t="n"/>
      <c r="I429" s="183">
        <f>+G429*H429</f>
        <v/>
      </c>
      <c r="J429" s="61" t="inlineStr">
        <is>
          <t>WR ALÇIPANEL</t>
        </is>
      </c>
      <c r="K429" s="61" t="inlineStr">
        <is>
          <t>m²</t>
        </is>
      </c>
      <c r="L429" s="61" t="n">
        <v>13.2</v>
      </c>
      <c r="M429" s="61" t="n"/>
      <c r="N429" s="61" t="n"/>
      <c r="O429" s="61" t="n"/>
      <c r="P429" s="61" t="n"/>
    </row>
    <row r="430" ht="28.8" customHeight="1">
      <c r="B430" s="90" t="n">
        <v>46223</v>
      </c>
      <c r="C430" s="61" t="n">
        <v>210</v>
      </c>
      <c r="D430" s="100" t="inlineStr">
        <is>
          <t>C6 Blok -4.80 kotunda, nem ve küf oluşumu nedeniyle hasar gören alçıpan duvarlar sökülerek gerekli düzeltmeler yapılmıştır.</t>
        </is>
      </c>
      <c r="E430" s="61" t="inlineStr">
        <is>
          <t>4 Usta
4 Usta Yard.</t>
        </is>
      </c>
      <c r="F430" s="61" t="inlineStr">
        <is>
          <t>yevmiye</t>
        </is>
      </c>
      <c r="G430" s="94" t="n">
        <v>4</v>
      </c>
      <c r="H430" s="190" t="n"/>
      <c r="I430" s="183">
        <f>+G430*H430</f>
        <v/>
      </c>
      <c r="J430" s="61" t="inlineStr">
        <is>
          <t>FX Ultra Alçıpan</t>
        </is>
      </c>
      <c r="K430" s="61" t="inlineStr">
        <is>
          <t>m²</t>
        </is>
      </c>
      <c r="L430" s="61" t="n">
        <v>145.2</v>
      </c>
      <c r="M430" s="61" t="n"/>
      <c r="N430" s="61" t="n"/>
      <c r="O430" s="61" t="n"/>
      <c r="P430" s="61" t="n"/>
    </row>
    <row r="431" ht="28.8" customHeight="1">
      <c r="B431" s="188" t="n"/>
      <c r="C431" s="185" t="n"/>
      <c r="D431" s="188" t="n"/>
      <c r="E431" s="185" t="n"/>
      <c r="F431" s="185" t="n"/>
      <c r="G431" s="94" t="n">
        <v>4</v>
      </c>
      <c r="H431" s="190" t="n"/>
      <c r="I431" s="183">
        <f>+G431*H431</f>
        <v/>
      </c>
      <c r="J431" s="61" t="n"/>
      <c r="K431" s="61" t="n"/>
      <c r="L431" s="61" t="n"/>
      <c r="M431" s="61" t="n"/>
      <c r="N431" s="61" t="n"/>
      <c r="O431" s="61" t="n"/>
      <c r="P431" s="61" t="n"/>
    </row>
    <row r="432" ht="28.8" customHeight="1">
      <c r="B432" s="90" t="n">
        <v>46224</v>
      </c>
      <c r="C432" s="61" t="n">
        <v>211</v>
      </c>
      <c r="D432" s="100" t="inlineStr">
        <is>
          <t>C5 Blok 20 nolu cephede gazbeton duvar tamiratları yapılmıştır.</t>
        </is>
      </c>
      <c r="E432" s="61" t="inlineStr">
        <is>
          <t>1 Usta
1 Usta Yard.</t>
        </is>
      </c>
      <c r="F432" s="61" t="inlineStr">
        <is>
          <t>yevmiye</t>
        </is>
      </c>
      <c r="G432" s="94" t="n">
        <v>1</v>
      </c>
      <c r="H432" s="190" t="n"/>
      <c r="I432" s="183">
        <f>+G432*H432</f>
        <v/>
      </c>
      <c r="J432" s="61" t="n"/>
      <c r="K432" s="61" t="n"/>
      <c r="L432" s="61" t="n"/>
      <c r="M432" s="61" t="n"/>
      <c r="N432" s="61" t="n"/>
      <c r="O432" s="61" t="n"/>
      <c r="P432" s="61" t="n"/>
    </row>
    <row r="433" ht="28.8" customHeight="1">
      <c r="B433" s="188" t="n"/>
      <c r="C433" s="185" t="n"/>
      <c r="D433" s="188" t="n"/>
      <c r="E433" s="185" t="n"/>
      <c r="F433" s="185" t="n"/>
      <c r="G433" s="94" t="n">
        <v>1</v>
      </c>
      <c r="H433" s="190" t="n"/>
      <c r="I433" s="183">
        <f>+G433*H433</f>
        <v/>
      </c>
      <c r="J433" s="61" t="n"/>
      <c r="K433" s="61" t="n"/>
      <c r="L433" s="61" t="n"/>
      <c r="M433" s="61" t="n"/>
      <c r="N433" s="61" t="n"/>
      <c r="O433" s="61" t="n"/>
      <c r="P433" s="61" t="n"/>
    </row>
    <row r="434" ht="28.8" customHeight="1">
      <c r="B434" s="90" t="n">
        <v>46224</v>
      </c>
      <c r="C434" s="61" t="n">
        <v>212</v>
      </c>
      <c r="D434" s="100" t="inlineStr">
        <is>
          <t>C6 Blok -4.80 kotunda, nem ve küf oluşumu nedeniyle hasar gören alçıpan duvarlar sökülerek gerekli düzeltmeler yapılmıştır.</t>
        </is>
      </c>
      <c r="E434" s="61" t="inlineStr">
        <is>
          <t>4 Usta
4 Usta Yard.</t>
        </is>
      </c>
      <c r="F434" s="61" t="inlineStr">
        <is>
          <t>yevmiye</t>
        </is>
      </c>
      <c r="G434" s="94" t="n">
        <v>4</v>
      </c>
      <c r="H434" s="190" t="n"/>
      <c r="I434" s="183">
        <f>+G434*H434</f>
        <v/>
      </c>
      <c r="J434" s="61" t="inlineStr">
        <is>
          <t>FX Ultra Alçıpan</t>
        </is>
      </c>
      <c r="K434" s="61" t="inlineStr">
        <is>
          <t>m²</t>
        </is>
      </c>
      <c r="L434" s="61" t="n">
        <v>116.16</v>
      </c>
      <c r="M434" s="61" t="n"/>
      <c r="N434" s="61" t="n"/>
      <c r="O434" s="61" t="n"/>
      <c r="P434" s="61" t="n"/>
    </row>
    <row r="435" ht="28.8" customHeight="1">
      <c r="B435" s="188" t="n"/>
      <c r="C435" s="185" t="n"/>
      <c r="D435" s="188" t="n"/>
      <c r="E435" s="185" t="n"/>
      <c r="F435" s="185" t="n"/>
      <c r="G435" s="94" t="n">
        <v>4</v>
      </c>
      <c r="H435" s="190" t="n"/>
      <c r="I435" s="183">
        <f>+G435*H435</f>
        <v/>
      </c>
      <c r="J435" s="61" t="n"/>
      <c r="K435" s="61" t="n"/>
      <c r="L435" s="61" t="n"/>
      <c r="M435" s="61" t="n"/>
      <c r="N435" s="61" t="n"/>
      <c r="O435" s="61" t="n"/>
      <c r="P435" s="61" t="n"/>
    </row>
    <row r="436" ht="28.8" customHeight="1">
      <c r="B436" s="90" t="n">
        <v>46224</v>
      </c>
      <c r="C436" s="61" t="n">
        <v>213</v>
      </c>
      <c r="D436" s="100" t="inlineStr">
        <is>
          <t>C5 Blok 0.20 kotunda, cephe doğrama montajı nedeniyle hasar gören alçıpan duvarlar sökülerek gerekli düzeltmeler yapılmıştır.</t>
        </is>
      </c>
      <c r="E436" s="61" t="inlineStr">
        <is>
          <t>2 Usta
2 Usta Yard.</t>
        </is>
      </c>
      <c r="F436" s="61" t="inlineStr">
        <is>
          <t>yevmiye</t>
        </is>
      </c>
      <c r="G436" s="94" t="n">
        <v>2</v>
      </c>
      <c r="H436" s="190" t="n"/>
      <c r="I436" s="183">
        <f>+G436*H436</f>
        <v/>
      </c>
      <c r="J436" s="61" t="inlineStr">
        <is>
          <t>FX Ultra Alçıpan</t>
        </is>
      </c>
      <c r="K436" s="61" t="inlineStr">
        <is>
          <t>m²</t>
        </is>
      </c>
      <c r="L436" s="61" t="n">
        <v>13.2</v>
      </c>
      <c r="M436" s="61" t="n"/>
      <c r="N436" s="61" t="n"/>
      <c r="O436" s="61" t="n"/>
      <c r="P436" s="61" t="n"/>
    </row>
    <row r="437" ht="28.8" customHeight="1">
      <c r="B437" s="188" t="n"/>
      <c r="C437" s="185" t="n"/>
      <c r="D437" s="188" t="n"/>
      <c r="E437" s="185" t="n"/>
      <c r="F437" s="185" t="n"/>
      <c r="G437" s="94" t="n">
        <v>2</v>
      </c>
      <c r="H437" s="190" t="n"/>
      <c r="I437" s="183">
        <f>+G437*H437</f>
        <v/>
      </c>
      <c r="J437" s="61" t="n"/>
      <c r="K437" s="61" t="n"/>
      <c r="L437" s="61" t="n"/>
      <c r="M437" s="61" t="n"/>
      <c r="N437" s="61" t="n"/>
      <c r="O437" s="61" t="n"/>
      <c r="P437" s="61" t="n"/>
    </row>
    <row r="438" ht="28.8" customHeight="1">
      <c r="B438" s="90" t="n">
        <v>46224</v>
      </c>
      <c r="C438" s="61" t="n">
        <v>214</v>
      </c>
      <c r="D438" s="100" t="inlineStr">
        <is>
          <t>C3 Blok merdiven girişleri tarafımızca kapatılmıştır.</t>
        </is>
      </c>
      <c r="E438" s="61" t="inlineStr">
        <is>
          <t>2 Usta
2 Usta Yard.</t>
        </is>
      </c>
      <c r="F438" s="61" t="inlineStr">
        <is>
          <t>yevmiye</t>
        </is>
      </c>
      <c r="G438" s="94" t="n">
        <v>2</v>
      </c>
      <c r="H438" s="190" t="n"/>
      <c r="I438" s="183">
        <f>+G438*H438</f>
        <v/>
      </c>
      <c r="J438" s="61" t="n"/>
      <c r="K438" s="61" t="n"/>
      <c r="L438" s="61" t="n"/>
      <c r="M438" s="61" t="n"/>
      <c r="N438" s="61" t="n"/>
      <c r="O438" s="61" t="n"/>
      <c r="P438" s="61" t="n"/>
    </row>
    <row r="439" ht="28.8" customHeight="1">
      <c r="B439" s="188" t="n"/>
      <c r="C439" s="185" t="n"/>
      <c r="D439" s="188" t="n"/>
      <c r="E439" s="185" t="n"/>
      <c r="F439" s="185" t="n"/>
      <c r="G439" s="94" t="n">
        <v>2</v>
      </c>
      <c r="H439" s="190" t="n"/>
      <c r="I439" s="183">
        <f>+G439*H439</f>
        <v/>
      </c>
      <c r="J439" s="61" t="n"/>
      <c r="K439" s="61" t="n"/>
      <c r="L439" s="61" t="n"/>
      <c r="M439" s="61" t="n"/>
      <c r="N439" s="61" t="n"/>
      <c r="O439" s="61" t="n"/>
      <c r="P439" s="61" t="n"/>
    </row>
    <row r="440" ht="28.8" customHeight="1">
      <c r="B440" s="90" t="n">
        <v>46225</v>
      </c>
      <c r="C440" s="61" t="n">
        <v>215</v>
      </c>
      <c r="D440" s="100" t="inlineStr">
        <is>
          <t>C5 Blok 0.20 kotunda, hasar gören alçıpan duvarlar sökülerek gerekli düzeltmeler yapılmıştır.</t>
        </is>
      </c>
      <c r="E440" s="61" t="inlineStr">
        <is>
          <t>3 Usta
3 Usta Yard.</t>
        </is>
      </c>
      <c r="F440" s="61" t="inlineStr">
        <is>
          <t>yevmiye</t>
        </is>
      </c>
      <c r="G440" s="94" t="n">
        <v>3</v>
      </c>
      <c r="H440" s="190" t="n"/>
      <c r="I440" s="183">
        <f>+G440*H440</f>
        <v/>
      </c>
      <c r="J440" s="61" t="inlineStr">
        <is>
          <t>FX Ultra Alçıpan</t>
        </is>
      </c>
      <c r="K440" s="61" t="inlineStr">
        <is>
          <t>m²</t>
        </is>
      </c>
      <c r="L440" s="61" t="n">
        <v>31.68</v>
      </c>
      <c r="M440" s="61" t="n"/>
      <c r="N440" s="61" t="n"/>
      <c r="O440" s="61" t="n"/>
      <c r="P440" s="61" t="n"/>
    </row>
    <row r="441" ht="28.8" customHeight="1">
      <c r="B441" s="188" t="n"/>
      <c r="C441" s="185" t="n"/>
      <c r="D441" s="188" t="n"/>
      <c r="E441" s="185" t="n"/>
      <c r="F441" s="185" t="n"/>
      <c r="G441" s="94" t="n">
        <v>3</v>
      </c>
      <c r="H441" s="190" t="n"/>
      <c r="I441" s="183">
        <f>+G441*H441</f>
        <v/>
      </c>
      <c r="J441" s="61" t="inlineStr">
        <is>
          <t>WR ALÇIPANEL</t>
        </is>
      </c>
      <c r="K441" s="61" t="inlineStr">
        <is>
          <t>m²</t>
        </is>
      </c>
      <c r="L441" s="61" t="n">
        <v>13.2</v>
      </c>
      <c r="M441" s="61" t="n"/>
      <c r="N441" s="61" t="n"/>
      <c r="O441" s="61" t="n"/>
      <c r="P441" s="61" t="n"/>
    </row>
    <row r="442" ht="28.8" customHeight="1">
      <c r="B442" s="90" t="n">
        <v>46225</v>
      </c>
      <c r="C442" s="61" t="n">
        <v>216</v>
      </c>
      <c r="D442" s="100" t="inlineStr">
        <is>
          <t>C6 Blok -4.80 kotunda, nem ve küf oluşumu nedeniyle hasar gören alçıpan duvarlar sökülerek gerekli düzeltmeler yapılmıştır.</t>
        </is>
      </c>
      <c r="E442" s="61" t="inlineStr">
        <is>
          <t>4 Usta
4 Usta Yard.</t>
        </is>
      </c>
      <c r="F442" s="61" t="inlineStr">
        <is>
          <t>yevmiye</t>
        </is>
      </c>
      <c r="G442" s="94" t="n">
        <v>4</v>
      </c>
      <c r="H442" s="190" t="n"/>
      <c r="I442" s="183">
        <f>+G442*H442</f>
        <v/>
      </c>
      <c r="J442" s="61" t="inlineStr">
        <is>
          <t>FX Ultra Alçıpan</t>
        </is>
      </c>
      <c r="K442" s="61" t="inlineStr">
        <is>
          <t>m²</t>
        </is>
      </c>
      <c r="L442" s="61" t="n">
        <v>113.52</v>
      </c>
      <c r="M442" s="61" t="n"/>
      <c r="N442" s="61" t="n"/>
      <c r="O442" s="61" t="n"/>
      <c r="P442" s="61" t="n"/>
    </row>
    <row r="443" ht="28.8" customHeight="1">
      <c r="B443" s="188" t="n"/>
      <c r="C443" s="185" t="n"/>
      <c r="D443" s="188" t="n"/>
      <c r="E443" s="185" t="n"/>
      <c r="F443" s="185" t="n"/>
      <c r="G443" s="94" t="n">
        <v>4</v>
      </c>
      <c r="H443" s="190" t="n"/>
      <c r="I443" s="183">
        <f>+G443*H443</f>
        <v/>
      </c>
      <c r="J443" s="61" t="n"/>
      <c r="K443" s="61" t="n"/>
      <c r="L443" s="61" t="n"/>
      <c r="M443" s="61" t="n"/>
      <c r="N443" s="61" t="n"/>
      <c r="O443" s="61" t="n"/>
      <c r="P443" s="61" t="n"/>
    </row>
    <row r="444" ht="28.8" customHeight="1">
      <c r="B444" s="90" t="n">
        <v>46225</v>
      </c>
      <c r="C444" s="61" t="n">
        <v>217</v>
      </c>
      <c r="D444" s="100" t="inlineStr">
        <is>
          <t>C3 Blok 15.20 kotunda, saten imalatının devam edebilmesi için blokta bulunan kanallar uygun alanlara alınmıştır.</t>
        </is>
      </c>
      <c r="E444" s="61" t="inlineStr">
        <is>
          <t>4 Usta Yard.</t>
        </is>
      </c>
      <c r="F444" s="61" t="inlineStr">
        <is>
          <t>yevmiye</t>
        </is>
      </c>
      <c r="G444" s="94" t="n">
        <v>4</v>
      </c>
      <c r="H444" s="190" t="n"/>
      <c r="I444" s="183">
        <f>+G444*H444</f>
        <v/>
      </c>
      <c r="J444" s="61" t="n"/>
      <c r="K444" s="61" t="n"/>
      <c r="L444" s="61" t="n"/>
      <c r="M444" s="61" t="n"/>
      <c r="N444" s="61" t="n"/>
      <c r="O444" s="61" t="n"/>
      <c r="P444" s="61" t="n"/>
    </row>
    <row r="445" ht="28.8" customHeight="1">
      <c r="A445" t="inlineStr">
        <is>
          <t>İPTAL</t>
        </is>
      </c>
      <c r="B445" s="90" t="n">
        <v>46225</v>
      </c>
      <c r="C445" s="61" t="n">
        <v>218</v>
      </c>
      <c r="D445" s="100" t="inlineStr">
        <is>
          <t>C5 Blok 0.20 kotu hakim odalarında yükseltilmiş döşemenin devam edebilmesi için kapatılamayan cephe alçıpan giydirme duvarları yerden 35 cm yüksekliğinde alçıpan yapılmıştır.</t>
        </is>
      </c>
      <c r="E445" s="61" t="inlineStr">
        <is>
          <t>2 Usta
2 Usta Yard.</t>
        </is>
      </c>
      <c r="F445" s="61" t="inlineStr">
        <is>
          <t>yevmiye</t>
        </is>
      </c>
      <c r="G445" s="94" t="n">
        <v>2</v>
      </c>
      <c r="H445" s="190" t="n"/>
      <c r="I445" s="183" t="n"/>
      <c r="J445" s="61" t="inlineStr">
        <is>
          <t>FX Ultra Alçıpan</t>
        </is>
      </c>
      <c r="K445" s="61" t="inlineStr">
        <is>
          <t>m²</t>
        </is>
      </c>
      <c r="L445" s="61" t="n">
        <v>47.52</v>
      </c>
      <c r="M445" s="61" t="n"/>
      <c r="N445" s="61" t="n"/>
      <c r="O445" s="61" t="n"/>
      <c r="P445" s="61" t="n"/>
    </row>
    <row r="446" ht="28.8" customHeight="1">
      <c r="B446" s="188" t="n"/>
      <c r="C446" s="185" t="n"/>
      <c r="D446" s="188" t="n"/>
      <c r="E446" s="185" t="n"/>
      <c r="F446" s="185" t="n"/>
      <c r="G446" s="94" t="n">
        <v>2</v>
      </c>
      <c r="H446" s="190" t="n"/>
      <c r="I446" s="183" t="n"/>
      <c r="J446" s="61" t="n"/>
      <c r="K446" s="61" t="n"/>
      <c r="L446" s="61" t="n"/>
      <c r="M446" s="61" t="n"/>
      <c r="N446" s="61" t="n"/>
      <c r="O446" s="61" t="n"/>
      <c r="P446" s="61" t="n"/>
    </row>
    <row r="447" ht="28.8" customHeight="1">
      <c r="B447" s="90" t="n">
        <v>46226</v>
      </c>
      <c r="C447" s="61" t="n">
        <v>219</v>
      </c>
      <c r="D447" s="100" t="inlineStr">
        <is>
          <t>C6 Blok -4.80 kotunda, nem ve küf oluşumu nedeniyle hasar gören alçıpan duvarlar sökülerek gerekli düzeltmeler yapılmıştır.</t>
        </is>
      </c>
      <c r="E447" s="61" t="inlineStr">
        <is>
          <t>4 Usta
4 Usta Yard.</t>
        </is>
      </c>
      <c r="F447" s="61" t="inlineStr">
        <is>
          <t>yevmiye</t>
        </is>
      </c>
      <c r="G447" s="94" t="n">
        <v>4</v>
      </c>
      <c r="H447" s="190" t="n"/>
      <c r="I447" s="183">
        <f>+G447*H447</f>
        <v/>
      </c>
      <c r="J447" s="61" t="inlineStr">
        <is>
          <t>FX Ultra Alçıpan</t>
        </is>
      </c>
      <c r="K447" s="61" t="inlineStr">
        <is>
          <t>m²</t>
        </is>
      </c>
      <c r="L447" s="61" t="n">
        <v>113.52</v>
      </c>
      <c r="M447" s="61" t="n"/>
      <c r="N447" s="61" t="n"/>
      <c r="O447" s="61" t="n"/>
      <c r="P447" s="61" t="n"/>
    </row>
    <row r="448" ht="28.8" customHeight="1">
      <c r="B448" s="188" t="n"/>
      <c r="C448" s="185" t="n"/>
      <c r="D448" s="188" t="n"/>
      <c r="E448" s="185" t="n"/>
      <c r="F448" s="185" t="n"/>
      <c r="G448" s="94" t="n">
        <v>4</v>
      </c>
      <c r="H448" s="190" t="n"/>
      <c r="I448" s="183">
        <f>+G448*H448</f>
        <v/>
      </c>
      <c r="J448" s="61" t="n"/>
      <c r="K448" s="61" t="n"/>
      <c r="L448" s="61" t="n"/>
      <c r="M448" s="61" t="n"/>
      <c r="N448" s="61" t="n"/>
      <c r="O448" s="61" t="n"/>
      <c r="P448" s="61" t="n"/>
    </row>
    <row r="449" ht="28.8" customHeight="1">
      <c r="B449" s="90" t="n">
        <v>46227</v>
      </c>
      <c r="C449" s="61" t="n">
        <v>220</v>
      </c>
      <c r="D449" s="100" t="inlineStr">
        <is>
          <t>C3 Blok 10.20 kotu hasar gören alçıpanlar değiştirilmiştir.</t>
        </is>
      </c>
      <c r="E449" s="61" t="inlineStr">
        <is>
          <t>1 Usta
1 Usta Yard.</t>
        </is>
      </c>
      <c r="F449" s="61" t="inlineStr">
        <is>
          <t>yevmiye</t>
        </is>
      </c>
      <c r="G449" s="94" t="n">
        <v>1</v>
      </c>
      <c r="H449" s="190" t="n"/>
      <c r="I449" s="183">
        <f>+G449*H449</f>
        <v/>
      </c>
      <c r="J449" s="61" t="inlineStr">
        <is>
          <t>FX Ultra Alçıpan</t>
        </is>
      </c>
      <c r="K449" s="61" t="inlineStr">
        <is>
          <t>m²</t>
        </is>
      </c>
      <c r="L449" s="61" t="n">
        <v>10.56</v>
      </c>
      <c r="M449" s="61" t="n"/>
      <c r="N449" s="61" t="n"/>
      <c r="O449" s="61" t="n"/>
      <c r="P449" s="61" t="n"/>
    </row>
    <row r="450" ht="28.8" customHeight="1">
      <c r="B450" s="188" t="n"/>
      <c r="C450" s="185" t="n"/>
      <c r="D450" s="188" t="n"/>
      <c r="E450" s="185" t="n"/>
      <c r="F450" s="185" t="n"/>
      <c r="G450" s="94" t="n">
        <v>1</v>
      </c>
      <c r="H450" s="190" t="n"/>
      <c r="I450" s="183">
        <f>+G450*H450</f>
        <v/>
      </c>
      <c r="J450" s="61" t="n"/>
      <c r="K450" s="61" t="n"/>
      <c r="L450" s="61" t="n"/>
      <c r="M450" s="61" t="n"/>
      <c r="N450" s="61" t="n"/>
      <c r="O450" s="61" t="n"/>
      <c r="P450" s="61" t="n"/>
    </row>
    <row r="451" ht="28.8" customHeight="1">
      <c r="B451" s="90" t="n">
        <v>46227</v>
      </c>
      <c r="C451" s="61" t="n">
        <v>221</v>
      </c>
      <c r="D451" s="100" t="inlineStr">
        <is>
          <t>C6 Blok -4.80 kotunda, nem ve küf oluşumu nedeniyle hasar gören alçıpan duvarlar sökülerek gerekli düzeltmeler yapılmıştır.</t>
        </is>
      </c>
      <c r="E451" s="61" t="inlineStr">
        <is>
          <t>4 Usta
4 Usta Yard.</t>
        </is>
      </c>
      <c r="F451" s="61" t="inlineStr">
        <is>
          <t>yevmiye</t>
        </is>
      </c>
      <c r="G451" s="94" t="n">
        <v>4</v>
      </c>
      <c r="H451" s="190" t="n"/>
      <c r="I451" s="183">
        <f>+G451*H451</f>
        <v/>
      </c>
      <c r="J451" s="61" t="inlineStr">
        <is>
          <t>FX Ultra Alçıpan</t>
        </is>
      </c>
      <c r="K451" s="61" t="inlineStr">
        <is>
          <t>m²</t>
        </is>
      </c>
      <c r="L451" s="61" t="n">
        <v>129.36</v>
      </c>
      <c r="M451" s="61" t="n"/>
      <c r="N451" s="61" t="n"/>
      <c r="O451" s="61" t="n"/>
      <c r="P451" s="61" t="n"/>
    </row>
    <row r="452" ht="28.8" customHeight="1">
      <c r="B452" s="188" t="n"/>
      <c r="C452" s="185" t="n"/>
      <c r="D452" s="188" t="n"/>
      <c r="E452" s="185" t="n"/>
      <c r="F452" s="185" t="n"/>
      <c r="G452" s="94" t="n">
        <v>4</v>
      </c>
      <c r="H452" s="190" t="n"/>
      <c r="I452" s="183">
        <f>+G452*H452</f>
        <v/>
      </c>
      <c r="J452" s="61" t="n"/>
      <c r="K452" s="61" t="n"/>
      <c r="L452" s="61" t="n"/>
      <c r="M452" s="61" t="n"/>
      <c r="N452" s="61" t="n"/>
      <c r="O452" s="61" t="n"/>
      <c r="P452" s="61" t="n"/>
    </row>
    <row r="453" ht="28.8" customHeight="1">
      <c r="B453" s="90" t="n">
        <v>46228</v>
      </c>
      <c r="C453" s="61" t="n">
        <v>222</v>
      </c>
      <c r="D453" s="100" t="inlineStr">
        <is>
          <t>C6 Blok -4.80 kotunda, nem ve küf oluşumu nedeniyle hasar gören alçıpan duvarlar sökülerek gerekli düzeltmeler yapılmıştır.</t>
        </is>
      </c>
      <c r="E453" s="61" t="inlineStr">
        <is>
          <t>4 Usta
4 Usta Yard.</t>
        </is>
      </c>
      <c r="F453" s="61" t="inlineStr">
        <is>
          <t>yevmiye</t>
        </is>
      </c>
      <c r="G453" s="94" t="n">
        <v>4</v>
      </c>
      <c r="H453" s="190" t="n"/>
      <c r="I453" s="183">
        <f>+G453*H453</f>
        <v/>
      </c>
      <c r="J453" s="61" t="inlineStr">
        <is>
          <t>FX Ultra Alçıpan</t>
        </is>
      </c>
      <c r="K453" s="61" t="inlineStr">
        <is>
          <t>m²</t>
        </is>
      </c>
      <c r="L453" s="61" t="n">
        <v>121.44</v>
      </c>
      <c r="M453" s="61" t="n"/>
      <c r="N453" s="61" t="n"/>
      <c r="O453" s="61" t="n"/>
      <c r="P453" s="61" t="n"/>
    </row>
    <row r="454" ht="28.8" customHeight="1">
      <c r="B454" s="188" t="n"/>
      <c r="C454" s="185" t="n"/>
      <c r="D454" s="188" t="n"/>
      <c r="E454" s="185" t="n"/>
      <c r="F454" s="185" t="n"/>
      <c r="G454" s="94" t="n">
        <v>4</v>
      </c>
      <c r="H454" s="190" t="n"/>
      <c r="I454" s="183">
        <f>+G454*H454</f>
        <v/>
      </c>
      <c r="J454" s="61" t="n"/>
      <c r="K454" s="61" t="n"/>
      <c r="L454" s="61" t="n"/>
      <c r="M454" s="61" t="n"/>
      <c r="N454" s="61" t="n"/>
      <c r="O454" s="61" t="n"/>
      <c r="P454" s="61" t="n"/>
    </row>
    <row r="455" ht="28.8" customHeight="1">
      <c r="B455" s="90" t="n">
        <v>46229</v>
      </c>
      <c r="C455" s="61" t="n">
        <v>223</v>
      </c>
      <c r="D455" s="100" t="inlineStr">
        <is>
          <t>C6 Blok -4.80 kotunda, nem ve küf oluşumu nedeniyle hasar gören alçıpan duvarlar sökülerek gerekli düzeltmeler yapılmıştır.</t>
        </is>
      </c>
      <c r="E455" s="61" t="inlineStr">
        <is>
          <t>4 Usta
4 Usta Yard.</t>
        </is>
      </c>
      <c r="F455" s="61" t="inlineStr">
        <is>
          <t>yevmiye</t>
        </is>
      </c>
      <c r="G455" s="94" t="n">
        <v>4</v>
      </c>
      <c r="H455" s="190" t="n"/>
      <c r="I455" s="183">
        <f>+G455*H455</f>
        <v/>
      </c>
      <c r="J455" s="61" t="inlineStr">
        <is>
          <t>FX Ultra Alçıpan</t>
        </is>
      </c>
      <c r="K455" s="61" t="inlineStr">
        <is>
          <t>m²</t>
        </is>
      </c>
      <c r="L455" s="61" t="n">
        <v>113.52</v>
      </c>
      <c r="M455" s="61" t="n"/>
      <c r="N455" s="61" t="n"/>
      <c r="O455" s="61" t="n"/>
      <c r="P455" s="61" t="n"/>
    </row>
    <row r="456" ht="28.8" customHeight="1">
      <c r="B456" s="188" t="n"/>
      <c r="C456" s="185" t="n"/>
      <c r="D456" s="188" t="n"/>
      <c r="E456" s="185" t="n"/>
      <c r="F456" s="185" t="n"/>
      <c r="G456" s="94" t="n">
        <v>4</v>
      </c>
      <c r="H456" s="190" t="n"/>
      <c r="I456" s="183">
        <f>+G456*H456</f>
        <v/>
      </c>
      <c r="J456" s="61" t="n"/>
      <c r="K456" s="61" t="n"/>
      <c r="L456" s="61" t="n"/>
      <c r="M456" s="61" t="n"/>
      <c r="N456" s="61" t="n"/>
      <c r="O456" s="61" t="n"/>
      <c r="P456" s="61" t="n"/>
    </row>
    <row r="457" ht="28.8" customHeight="1">
      <c r="B457" s="90" t="n">
        <v>46230</v>
      </c>
      <c r="C457" s="61" t="n">
        <v>224</v>
      </c>
      <c r="D457" s="100" t="inlineStr">
        <is>
          <t>C6 Blok -4.80 kotunda, nem ve küf oluşumu nedeniyle hasar gören alçıpan duvarlar sökülerek gerekli düzeltmeler yapılmıştır.</t>
        </is>
      </c>
      <c r="E457" s="61" t="inlineStr">
        <is>
          <t>5 Usta
5 Usta Yard.</t>
        </is>
      </c>
      <c r="F457" s="61" t="inlineStr">
        <is>
          <t>yevmiye</t>
        </is>
      </c>
      <c r="G457" s="94" t="n">
        <v>5</v>
      </c>
      <c r="H457" s="190" t="n"/>
      <c r="I457" s="183">
        <f>+G457*H457</f>
        <v/>
      </c>
      <c r="J457" s="61" t="inlineStr">
        <is>
          <t>FX Ultra Alçıpan</t>
        </is>
      </c>
      <c r="K457" s="61" t="inlineStr">
        <is>
          <t>m²</t>
        </is>
      </c>
      <c r="L457" s="61" t="n">
        <v>153.12</v>
      </c>
      <c r="M457" s="61" t="n"/>
      <c r="N457" s="61" t="n"/>
      <c r="O457" s="61" t="n"/>
      <c r="P457" s="61" t="n"/>
    </row>
    <row r="458" ht="28.8" customHeight="1">
      <c r="B458" s="188" t="n"/>
      <c r="C458" s="185" t="n"/>
      <c r="D458" s="188" t="n"/>
      <c r="E458" s="185" t="n"/>
      <c r="F458" s="185" t="n"/>
      <c r="G458" s="94" t="n">
        <v>5</v>
      </c>
      <c r="H458" s="190" t="n"/>
      <c r="I458" s="183">
        <f>+G458*H458</f>
        <v/>
      </c>
      <c r="J458" s="61" t="n"/>
      <c r="K458" s="61" t="n"/>
      <c r="L458" s="61" t="n"/>
      <c r="M458" s="61" t="n"/>
      <c r="N458" s="61" t="n"/>
      <c r="O458" s="61" t="n"/>
      <c r="P458" s="61" t="n"/>
    </row>
    <row r="459" ht="28.8" customHeight="1">
      <c r="B459" s="90" t="n">
        <v>46230</v>
      </c>
      <c r="C459" s="61" t="n">
        <v>225</v>
      </c>
      <c r="D459" s="100" t="inlineStr">
        <is>
          <t>C5 Blok 0.20 kotunda, hasar gören gazbeton duvar tamiratları yapılmıştır.</t>
        </is>
      </c>
      <c r="E459" s="61" t="inlineStr">
        <is>
          <t>2 Usta</t>
        </is>
      </c>
      <c r="F459" s="61" t="inlineStr">
        <is>
          <t>yevmiye</t>
        </is>
      </c>
      <c r="G459" s="94" t="n">
        <v>2</v>
      </c>
      <c r="H459" s="190" t="n"/>
      <c r="I459" s="183">
        <f>+G459*H459</f>
        <v/>
      </c>
      <c r="J459" s="61" t="n"/>
      <c r="K459" s="61" t="n"/>
      <c r="L459" s="61" t="n"/>
      <c r="M459" s="61" t="n"/>
      <c r="N459" s="61" t="n"/>
      <c r="O459" s="61" t="n"/>
      <c r="P459" s="61" t="n"/>
    </row>
    <row r="460" ht="28.8" customHeight="1">
      <c r="B460" s="90" t="n">
        <v>46231</v>
      </c>
      <c r="C460" s="61" t="n">
        <v>226</v>
      </c>
      <c r="D460" s="100" t="inlineStr">
        <is>
          <t>C6 Blok -4.80 kotunda, nem ve küf oluşumu nedeniyle hasar gören alçıpan duvarlar sökülerek gerekli düzeltmeler yapılmıştır.</t>
        </is>
      </c>
      <c r="E460" s="61" t="inlineStr">
        <is>
          <t>5 Usta
5 Usta Yard.</t>
        </is>
      </c>
      <c r="F460" s="61" t="inlineStr">
        <is>
          <t>yevmiye</t>
        </is>
      </c>
      <c r="G460" s="94" t="n">
        <v>5</v>
      </c>
      <c r="H460" s="190" t="n"/>
      <c r="I460" s="183">
        <f>+G460*H460</f>
        <v/>
      </c>
      <c r="J460" s="61" t="inlineStr">
        <is>
          <t>FX Ultra Alçıpan</t>
        </is>
      </c>
      <c r="K460" s="61" t="inlineStr">
        <is>
          <t>m²</t>
        </is>
      </c>
      <c r="L460" s="61" t="n">
        <v>153.12</v>
      </c>
      <c r="M460" s="61" t="n"/>
      <c r="N460" s="61" t="n"/>
      <c r="O460" s="61" t="n"/>
      <c r="P460" s="61" t="n"/>
    </row>
    <row r="461" ht="28.8" customHeight="1">
      <c r="B461" s="188" t="n"/>
      <c r="C461" s="185" t="n"/>
      <c r="D461" s="188" t="n"/>
      <c r="E461" s="185" t="n"/>
      <c r="F461" s="185" t="n"/>
      <c r="G461" s="94" t="n">
        <v>5</v>
      </c>
      <c r="H461" s="190" t="n"/>
      <c r="I461" s="183">
        <f>+G461*H461</f>
        <v/>
      </c>
      <c r="J461" s="61" t="n"/>
      <c r="K461" s="61" t="n"/>
      <c r="L461" s="61" t="n"/>
      <c r="M461" s="61" t="n"/>
      <c r="N461" s="61" t="n"/>
      <c r="O461" s="61" t="n"/>
      <c r="P461" s="61" t="n"/>
    </row>
    <row r="462" ht="28.8" customHeight="1">
      <c r="B462" s="90" t="n">
        <v>46231</v>
      </c>
      <c r="C462" s="61" t="n">
        <v>227</v>
      </c>
      <c r="D462" s="100" t="inlineStr">
        <is>
          <t>C5 Blok 0.20 kotu, merdiven girişleri tarafımızca kapatılmıştır.</t>
        </is>
      </c>
      <c r="E462" s="61" t="inlineStr">
        <is>
          <t>2 Usta
2 Usta Yard.</t>
        </is>
      </c>
      <c r="F462" s="61" t="inlineStr">
        <is>
          <t>yevmiye</t>
        </is>
      </c>
      <c r="G462" s="94" t="n">
        <v>2</v>
      </c>
      <c r="H462" s="190" t="n"/>
      <c r="I462" s="183">
        <f>+G462*H462</f>
        <v/>
      </c>
      <c r="J462" s="61" t="n"/>
      <c r="K462" s="61" t="n"/>
      <c r="L462" s="61" t="n"/>
      <c r="M462" s="61" t="n"/>
      <c r="N462" s="61" t="n"/>
      <c r="O462" s="61" t="n"/>
      <c r="P462" s="61" t="n"/>
    </row>
    <row r="463" ht="28.8" customHeight="1">
      <c r="B463" s="188" t="n"/>
      <c r="C463" s="185" t="n"/>
      <c r="D463" s="188" t="n"/>
      <c r="E463" s="185" t="n"/>
      <c r="F463" s="185" t="n"/>
      <c r="G463" s="94" t="n">
        <v>2</v>
      </c>
      <c r="H463" s="190" t="n"/>
      <c r="I463" s="183">
        <f>+G463*H463</f>
        <v/>
      </c>
      <c r="J463" s="61" t="n"/>
      <c r="K463" s="61" t="n"/>
      <c r="L463" s="61" t="n"/>
      <c r="M463" s="61" t="n"/>
      <c r="N463" s="61" t="n"/>
      <c r="O463" s="61" t="n"/>
      <c r="P463" s="61" t="n"/>
    </row>
    <row r="464" ht="28.8" customHeight="1">
      <c r="B464" s="90" t="n">
        <v>46231</v>
      </c>
      <c r="C464" s="61" t="n">
        <v>228</v>
      </c>
      <c r="D464" s="100" t="inlineStr">
        <is>
          <t>C5 Blok 0.20 kotu, elektrik biriminin çalışmaları sırasında hasar gören alçıpan duvar tamiratları yapılmıştır.</t>
        </is>
      </c>
      <c r="E464" s="61" t="inlineStr">
        <is>
          <t>2 Usta
2 Usta Yard.</t>
        </is>
      </c>
      <c r="F464" s="61" t="inlineStr">
        <is>
          <t>yevmiye</t>
        </is>
      </c>
      <c r="G464" s="94" t="n">
        <v>2</v>
      </c>
      <c r="H464" s="190" t="n"/>
      <c r="I464" s="183">
        <f>+G464*H464</f>
        <v/>
      </c>
      <c r="J464" s="61" t="inlineStr">
        <is>
          <t>FX Ultra Alçıpan</t>
        </is>
      </c>
      <c r="K464" s="61" t="inlineStr">
        <is>
          <t>m²</t>
        </is>
      </c>
      <c r="L464" s="61" t="n">
        <v>18.48</v>
      </c>
      <c r="M464" s="61" t="n"/>
      <c r="N464" s="61" t="n"/>
      <c r="O464" s="61" t="n"/>
      <c r="P464" s="61" t="n"/>
    </row>
    <row r="465" ht="28.8" customHeight="1">
      <c r="B465" s="188" t="n"/>
      <c r="C465" s="185" t="n"/>
      <c r="D465" s="188" t="n"/>
      <c r="E465" s="185" t="n"/>
      <c r="F465" s="185" t="n"/>
      <c r="G465" s="94" t="n">
        <v>2</v>
      </c>
      <c r="H465" s="190" t="n"/>
      <c r="I465" s="183">
        <f>+G465*H465</f>
        <v/>
      </c>
      <c r="J465" s="61" t="n"/>
      <c r="K465" s="61" t="n"/>
      <c r="L465" s="61" t="n"/>
      <c r="M465" s="61" t="n"/>
      <c r="N465" s="61" t="n"/>
      <c r="O465" s="61" t="n"/>
      <c r="P465" s="61" t="n"/>
    </row>
    <row r="466" ht="28.8" customHeight="1">
      <c r="B466" s="90" t="n">
        <v>46232</v>
      </c>
      <c r="C466" s="61" t="n">
        <v>229</v>
      </c>
      <c r="D466" s="100" t="inlineStr">
        <is>
          <t>C6 Blok -4.80 kotunda, nem ve küf oluşumu nedeniyle hasar gören alçıpan duvarlar sökülerek gerekli düzeltmeler yapılmıştır.</t>
        </is>
      </c>
      <c r="E466" s="61" t="inlineStr">
        <is>
          <t>5 Usta
5 Usta Yard.</t>
        </is>
      </c>
      <c r="F466" s="61" t="inlineStr">
        <is>
          <t>yevmiye</t>
        </is>
      </c>
      <c r="G466" s="94" t="n">
        <v>5</v>
      </c>
      <c r="H466" s="190" t="n"/>
      <c r="I466" s="183">
        <f>+G466*H466</f>
        <v/>
      </c>
      <c r="J466" s="61" t="inlineStr">
        <is>
          <t>FX Ultra Alçıpan</t>
        </is>
      </c>
      <c r="K466" s="61" t="inlineStr">
        <is>
          <t>m²</t>
        </is>
      </c>
      <c r="L466" s="61" t="n">
        <v>142.56</v>
      </c>
      <c r="M466" s="61" t="n"/>
      <c r="N466" s="61" t="n"/>
      <c r="O466" s="61" t="n"/>
      <c r="P466" s="61" t="n"/>
    </row>
    <row r="467" ht="28.8" customHeight="1">
      <c r="B467" s="188" t="n"/>
      <c r="C467" s="185" t="n"/>
      <c r="D467" s="188" t="n"/>
      <c r="E467" s="185" t="n"/>
      <c r="F467" s="185" t="n"/>
      <c r="G467" s="94" t="n">
        <v>5</v>
      </c>
      <c r="H467" s="190" t="n"/>
      <c r="I467" s="183">
        <f>+G467*H467</f>
        <v/>
      </c>
      <c r="J467" s="61" t="n"/>
      <c r="K467" s="61" t="n"/>
      <c r="L467" s="61" t="n"/>
      <c r="M467" s="61" t="n"/>
      <c r="N467" s="61" t="n"/>
      <c r="O467" s="61" t="n"/>
      <c r="P467" s="61" t="n"/>
    </row>
    <row r="468" ht="28.8" customHeight="1">
      <c r="A468" t="inlineStr">
        <is>
          <t>İPTAL</t>
        </is>
      </c>
      <c r="B468" s="90" t="n">
        <v>46232</v>
      </c>
      <c r="C468" s="61" t="n">
        <v>230</v>
      </c>
      <c r="D468" s="100" t="inlineStr">
        <is>
          <t>C5 Blok 0.20 kotu, elektrik biriminin çalışmaları sırasında hasar gören alçıpan duvar tamiratları yapılmıştır.</t>
        </is>
      </c>
      <c r="E468" s="61" t="inlineStr">
        <is>
          <t>2 Usta
2 Usta Yard.</t>
        </is>
      </c>
      <c r="F468" s="61" t="inlineStr">
        <is>
          <t>yevmiye</t>
        </is>
      </c>
      <c r="G468" s="94" t="n">
        <v>2</v>
      </c>
      <c r="H468" s="190" t="n"/>
      <c r="I468" s="183" t="n"/>
      <c r="J468" s="61" t="inlineStr">
        <is>
          <t>FX Ultra Alçıpan</t>
        </is>
      </c>
      <c r="K468" s="61" t="inlineStr">
        <is>
          <t>m²</t>
        </is>
      </c>
      <c r="L468" s="61" t="n">
        <v>23.76</v>
      </c>
      <c r="M468" s="61" t="n"/>
      <c r="N468" s="61" t="n"/>
      <c r="O468" s="61" t="n"/>
      <c r="P468" s="61" t="n"/>
    </row>
    <row r="469" ht="28.8" customHeight="1">
      <c r="B469" s="188" t="n"/>
      <c r="C469" s="185" t="n"/>
      <c r="D469" s="188" t="n"/>
      <c r="E469" s="185" t="n"/>
      <c r="F469" s="185" t="n"/>
      <c r="G469" s="94" t="n">
        <v>2</v>
      </c>
      <c r="H469" s="190" t="n"/>
      <c r="I469" s="183" t="n"/>
      <c r="J469" s="61" t="n"/>
      <c r="K469" s="61" t="n"/>
      <c r="L469" s="61" t="n"/>
      <c r="M469" s="61" t="n"/>
      <c r="N469" s="61" t="n"/>
      <c r="O469" s="61" t="n"/>
      <c r="P469" s="61" t="n"/>
    </row>
    <row r="470" ht="28.8" customHeight="1">
      <c r="B470" s="90" t="n">
        <v>46233</v>
      </c>
      <c r="C470" s="61" t="n">
        <v>231</v>
      </c>
      <c r="D470" s="100" t="inlineStr">
        <is>
          <t>C6 Blok -4.80 kotunda, hasar gören alçıpan duvarlar sökülerek gerekli düzeltmeler yapılmıştır.</t>
        </is>
      </c>
      <c r="E470" s="61" t="inlineStr">
        <is>
          <t>3 Usta
3 Usta Yard.</t>
        </is>
      </c>
      <c r="F470" s="61" t="inlineStr">
        <is>
          <t>yevmiye</t>
        </is>
      </c>
      <c r="G470" s="94" t="n">
        <v>3</v>
      </c>
      <c r="H470" s="190" t="n"/>
      <c r="I470" s="183">
        <f>+G470*H470</f>
        <v/>
      </c>
      <c r="J470" s="61" t="inlineStr">
        <is>
          <t>FX Ultra Alçıpan</t>
        </is>
      </c>
      <c r="K470" s="61" t="inlineStr">
        <is>
          <t>m²</t>
        </is>
      </c>
      <c r="L470" s="61" t="n">
        <v>105.6</v>
      </c>
      <c r="M470" s="61" t="n"/>
      <c r="N470" s="61" t="n"/>
      <c r="O470" s="61" t="n"/>
      <c r="P470" s="61" t="n"/>
    </row>
    <row r="471" ht="28.8" customHeight="1">
      <c r="B471" s="188" t="n"/>
      <c r="C471" s="185" t="n"/>
      <c r="D471" s="188" t="n"/>
      <c r="E471" s="185" t="n"/>
      <c r="F471" s="185" t="n"/>
      <c r="G471" s="94" t="n">
        <v>3</v>
      </c>
      <c r="H471" s="190" t="n"/>
      <c r="I471" s="183">
        <f>+G471*H471</f>
        <v/>
      </c>
      <c r="J471" s="61" t="n"/>
      <c r="K471" s="61" t="n"/>
      <c r="L471" s="61" t="n"/>
      <c r="M471" s="61" t="n"/>
      <c r="N471" s="61" t="n"/>
      <c r="O471" s="61" t="n"/>
      <c r="P471" s="61" t="n"/>
    </row>
    <row r="472" ht="28.8" customHeight="1">
      <c r="B472" s="90" t="n">
        <v>46233</v>
      </c>
      <c r="C472" s="61" t="n">
        <v>232</v>
      </c>
      <c r="D472" s="100" t="inlineStr">
        <is>
          <t>C7 Blok -4.80 kotunda, hasar gören gazbeton duvar sökülerek gerekli düzeltmeler yapılmıştır.</t>
        </is>
      </c>
      <c r="E472" s="61" t="inlineStr">
        <is>
          <t>2 Usta
2 Usta Yard.</t>
        </is>
      </c>
      <c r="F472" s="61" t="inlineStr">
        <is>
          <t>yevmiye</t>
        </is>
      </c>
      <c r="G472" s="94" t="n">
        <v>2</v>
      </c>
      <c r="H472" s="190" t="n"/>
      <c r="I472" s="183">
        <f>+G472*H472</f>
        <v/>
      </c>
      <c r="J472" s="61" t="inlineStr">
        <is>
          <t>15 cm gazbeton</t>
        </is>
      </c>
      <c r="K472" s="61" t="inlineStr">
        <is>
          <t>m²</t>
        </is>
      </c>
      <c r="L472" s="61" t="n">
        <v>8.5</v>
      </c>
      <c r="M472" s="61" t="n"/>
      <c r="N472" s="61" t="n"/>
      <c r="O472" s="61" t="n"/>
      <c r="P472" s="61" t="n"/>
    </row>
    <row r="473" ht="28.8" customHeight="1">
      <c r="B473" s="188" t="n"/>
      <c r="C473" s="185" t="n"/>
      <c r="D473" s="188" t="n"/>
      <c r="E473" s="185" t="n"/>
      <c r="F473" s="185" t="n"/>
      <c r="G473" s="94" t="n">
        <v>2</v>
      </c>
      <c r="H473" s="190" t="n"/>
      <c r="I473" s="183">
        <f>+G473*H473</f>
        <v/>
      </c>
      <c r="J473" s="61" t="n"/>
      <c r="K473" s="61" t="n"/>
      <c r="L473" s="61" t="n"/>
      <c r="M473" s="61" t="n"/>
      <c r="N473" s="61" t="n"/>
      <c r="O473" s="61" t="n"/>
      <c r="P473" s="61" t="n"/>
    </row>
    <row r="474" ht="28.8" customHeight="1">
      <c r="B474" s="90" t="n">
        <v>46234</v>
      </c>
      <c r="C474" s="61" t="n">
        <v>233</v>
      </c>
      <c r="D474" s="100" t="inlineStr">
        <is>
          <t>C6 Blok -4.80 kotunda, hasar gören alçıpan duvarlar sökülerek gerekli düzeltmeler yapılmıştır.</t>
        </is>
      </c>
      <c r="E474" s="61" t="inlineStr">
        <is>
          <t>3 Usta
3 Usta Yard.</t>
        </is>
      </c>
      <c r="F474" s="61" t="inlineStr">
        <is>
          <t>yevmiye</t>
        </is>
      </c>
      <c r="G474" s="94" t="n">
        <v>3</v>
      </c>
      <c r="H474" s="190" t="n"/>
      <c r="I474" s="183">
        <f>+G474*H474</f>
        <v/>
      </c>
      <c r="J474" s="61" t="inlineStr">
        <is>
          <t>FX Ultra Alçıpan</t>
        </is>
      </c>
      <c r="K474" s="61" t="inlineStr">
        <is>
          <t>m²</t>
        </is>
      </c>
      <c r="L474" s="61" t="n">
        <v>47.52</v>
      </c>
      <c r="M474" s="61" t="n"/>
      <c r="N474" s="61" t="n"/>
      <c r="O474" s="61" t="n"/>
      <c r="P474" s="61" t="n"/>
    </row>
    <row r="475" ht="28.8" customHeight="1">
      <c r="B475" s="188" t="n"/>
      <c r="C475" s="185" t="n"/>
      <c r="D475" s="188" t="n"/>
      <c r="E475" s="185" t="n"/>
      <c r="F475" s="185" t="n"/>
      <c r="G475" s="94" t="n">
        <v>3</v>
      </c>
      <c r="H475" s="190" t="n"/>
      <c r="I475" s="183">
        <f>+G475*H475</f>
        <v/>
      </c>
      <c r="J475" s="61" t="n"/>
      <c r="K475" s="61" t="n"/>
      <c r="L475" s="61" t="n"/>
      <c r="M475" s="61" t="n"/>
      <c r="N475" s="61" t="n"/>
      <c r="O475" s="61" t="n"/>
      <c r="P475" s="61" t="n"/>
    </row>
    <row r="476" ht="28.8" customHeight="1">
      <c r="B476" s="90" t="n">
        <v>46237</v>
      </c>
      <c r="C476" s="61" t="n">
        <v>234</v>
      </c>
      <c r="D476" s="100" t="inlineStr">
        <is>
          <t>C6 Blok -4.80 kotunda, hasar gören alçıpan duvarlar sökülerek gerekli düzeltmeler yapılmıştır.</t>
        </is>
      </c>
      <c r="E476" s="61" t="inlineStr">
        <is>
          <t>3 Usta
3 Usta Yard.</t>
        </is>
      </c>
      <c r="F476" s="61" t="inlineStr">
        <is>
          <t>yevmiye</t>
        </is>
      </c>
      <c r="G476" s="94" t="n">
        <v>3</v>
      </c>
      <c r="H476" s="190" t="n"/>
      <c r="I476" s="183">
        <f>+G476*H476</f>
        <v/>
      </c>
      <c r="J476" s="61" t="inlineStr">
        <is>
          <t>FX Ultra Alçıpan</t>
        </is>
      </c>
      <c r="K476" s="61" t="inlineStr">
        <is>
          <t>m²</t>
        </is>
      </c>
      <c r="L476" s="61" t="n">
        <v>47.52</v>
      </c>
      <c r="M476" s="61" t="n"/>
      <c r="N476" s="61" t="n"/>
      <c r="O476" s="61" t="n"/>
      <c r="P476" s="61" t="n"/>
    </row>
    <row r="477" ht="28.8" customHeight="1">
      <c r="B477" s="188" t="n"/>
      <c r="C477" s="185" t="n"/>
      <c r="D477" s="188" t="n"/>
      <c r="E477" s="185" t="n"/>
      <c r="F477" s="185" t="n"/>
      <c r="G477" s="94" t="n">
        <v>3</v>
      </c>
      <c r="H477" s="190" t="n"/>
      <c r="I477" s="183">
        <f>+G477*H477</f>
        <v/>
      </c>
      <c r="J477" s="61" t="n"/>
      <c r="K477" s="61" t="n"/>
      <c r="L477" s="61" t="n"/>
      <c r="M477" s="61" t="n"/>
      <c r="N477" s="61" t="n"/>
      <c r="O477" s="61" t="n"/>
      <c r="P477" s="61" t="n"/>
    </row>
    <row r="478" ht="28.8" customHeight="1">
      <c r="B478" s="90" t="n">
        <v>46238</v>
      </c>
      <c r="C478" s="61" t="n">
        <v>235</v>
      </c>
      <c r="D478" s="100" t="inlineStr">
        <is>
          <t>C6 Blok -4.80 kotunda, hasar gören alçıpan duvarlar sökülerek gerekli düzeltmeler yapılmıştır.</t>
        </is>
      </c>
      <c r="E478" s="61" t="inlineStr">
        <is>
          <t>3 Usta
3 Usta Yard.</t>
        </is>
      </c>
      <c r="F478" s="61" t="inlineStr">
        <is>
          <t>yevmiye</t>
        </is>
      </c>
      <c r="G478" s="94" t="n">
        <v>3</v>
      </c>
      <c r="H478" s="190" t="n"/>
      <c r="I478" s="183">
        <f>+G478*H478</f>
        <v/>
      </c>
      <c r="J478" s="61" t="inlineStr">
        <is>
          <t>FX Ultra Alçıpan</t>
        </is>
      </c>
      <c r="K478" s="61" t="inlineStr">
        <is>
          <t>m²</t>
        </is>
      </c>
      <c r="L478" s="61" t="n">
        <v>66</v>
      </c>
      <c r="M478" s="61" t="n"/>
      <c r="N478" s="61" t="n"/>
      <c r="O478" s="61" t="n"/>
      <c r="P478" s="61" t="n"/>
    </row>
    <row r="479" ht="28.8" customHeight="1">
      <c r="B479" s="188" t="n"/>
      <c r="C479" s="185" t="n"/>
      <c r="D479" s="188" t="n"/>
      <c r="E479" s="185" t="n"/>
      <c r="F479" s="185" t="n"/>
      <c r="G479" s="94" t="n">
        <v>3</v>
      </c>
      <c r="H479" s="190" t="n"/>
      <c r="I479" s="183">
        <f>+G479*H479</f>
        <v/>
      </c>
      <c r="J479" s="61" t="n"/>
      <c r="K479" s="61" t="n"/>
      <c r="L479" s="61" t="n"/>
      <c r="M479" s="61" t="n"/>
      <c r="N479" s="61" t="n"/>
      <c r="O479" s="61" t="n"/>
      <c r="P479" s="61" t="n"/>
    </row>
    <row r="480" ht="28.8" customHeight="1">
      <c r="B480" s="90" t="n">
        <v>46239</v>
      </c>
      <c r="C480" s="61" t="n">
        <v>236</v>
      </c>
      <c r="D480" s="100" t="inlineStr">
        <is>
          <t>C6 Blok -4.80 kotunda, hasar gören alçıpan duvarlar sökülerek gerekli düzeltmeler yapılmıştır.</t>
        </is>
      </c>
      <c r="E480" s="61" t="inlineStr">
        <is>
          <t>3 Usta
3 Usta Yard.</t>
        </is>
      </c>
      <c r="F480" s="61" t="inlineStr">
        <is>
          <t>yevmiye</t>
        </is>
      </c>
      <c r="G480" s="94" t="n">
        <v>3</v>
      </c>
      <c r="H480" s="190" t="n"/>
      <c r="I480" s="183">
        <f>+G480*H480</f>
        <v/>
      </c>
      <c r="J480" s="61" t="inlineStr">
        <is>
          <t>FX Ultra Alçıpan</t>
        </is>
      </c>
      <c r="K480" s="61" t="inlineStr">
        <is>
          <t>m²</t>
        </is>
      </c>
      <c r="L480" s="61" t="n">
        <v>66</v>
      </c>
      <c r="M480" s="61" t="n"/>
      <c r="N480" s="61" t="n"/>
      <c r="O480" s="61" t="n"/>
      <c r="P480" s="61" t="n"/>
    </row>
    <row r="481" ht="28.8" customHeight="1">
      <c r="B481" s="188" t="n"/>
      <c r="C481" s="185" t="n"/>
      <c r="D481" s="188" t="n"/>
      <c r="E481" s="185" t="n"/>
      <c r="F481" s="185" t="n"/>
      <c r="G481" s="94" t="n">
        <v>3</v>
      </c>
      <c r="H481" s="190" t="n"/>
      <c r="I481" s="183">
        <f>+G481*H481</f>
        <v/>
      </c>
      <c r="J481" s="61" t="n"/>
      <c r="K481" s="61" t="n"/>
      <c r="L481" s="61" t="n"/>
      <c r="M481" s="61" t="n"/>
      <c r="N481" s="61" t="n"/>
      <c r="O481" s="61" t="n"/>
      <c r="P481" s="61" t="n"/>
    </row>
    <row r="482" ht="28.8" customHeight="1">
      <c r="B482" s="90" t="n">
        <v>46245</v>
      </c>
      <c r="C482" s="61" t="n">
        <v>237</v>
      </c>
      <c r="D482" s="100" t="inlineStr">
        <is>
          <t>C3 Blok 10.20 kotunda, hasar gören alçıpan duvar karkası sökülerek gerekli düzeltmeler yapılmıştır.</t>
        </is>
      </c>
      <c r="E482" s="61" t="inlineStr">
        <is>
          <t>1 Usta
1 Usta Yard.</t>
        </is>
      </c>
      <c r="F482" s="61" t="inlineStr">
        <is>
          <t>yevmiye</t>
        </is>
      </c>
      <c r="G482" s="94" t="n">
        <v>1</v>
      </c>
      <c r="H482" s="190" t="n"/>
      <c r="I482" s="183">
        <f>+G482*H482</f>
        <v/>
      </c>
      <c r="J482" s="61" t="inlineStr">
        <is>
          <t>dc50</t>
        </is>
      </c>
      <c r="K482" s="61" t="inlineStr">
        <is>
          <t>m²</t>
        </is>
      </c>
      <c r="L482" s="61" t="n">
        <v>19.04</v>
      </c>
      <c r="M482" s="61" t="n"/>
      <c r="N482" s="61" t="n"/>
      <c r="O482" s="61" t="n"/>
      <c r="P482" s="61" t="n"/>
    </row>
    <row r="483" ht="28.8" customHeight="1">
      <c r="B483" s="188" t="n"/>
      <c r="C483" s="185" t="n"/>
      <c r="D483" s="188" t="n"/>
      <c r="E483" s="185" t="n"/>
      <c r="F483" s="185" t="n"/>
      <c r="G483" s="94" t="n">
        <v>1</v>
      </c>
      <c r="H483" s="190" t="n"/>
      <c r="I483" s="183">
        <f>+G483*H483</f>
        <v/>
      </c>
      <c r="J483" s="61" t="n"/>
      <c r="K483" s="61" t="n"/>
      <c r="L483" s="61" t="n"/>
      <c r="M483" s="61" t="n"/>
      <c r="N483" s="61" t="n"/>
      <c r="O483" s="61" t="n"/>
      <c r="P483" s="61" t="n"/>
    </row>
    <row r="484" ht="28.8" customHeight="1">
      <c r="B484" s="90" t="n">
        <v>46245</v>
      </c>
      <c r="C484" s="61" t="n">
        <v>238</v>
      </c>
      <c r="D484" s="100" t="inlineStr">
        <is>
          <t>C5 Blok 20.20 kotunda, mekanik biriminin imalatlarımıza engel olan malzemeleri uygun alanlara taşınmıştır .</t>
        </is>
      </c>
      <c r="E484" s="61" t="inlineStr">
        <is>
          <t>2 Usta Yard.</t>
        </is>
      </c>
      <c r="F484" s="61" t="inlineStr">
        <is>
          <t>yevmiye</t>
        </is>
      </c>
      <c r="G484" s="94" t="n">
        <v>2</v>
      </c>
      <c r="H484" s="190" t="n"/>
      <c r="I484" s="183">
        <f>+G484*H484</f>
        <v/>
      </c>
      <c r="J484" s="61" t="n"/>
      <c r="K484" s="61" t="n"/>
      <c r="L484" s="61" t="n"/>
      <c r="M484" s="61" t="n"/>
      <c r="N484" s="61" t="n"/>
      <c r="O484" s="61" t="n"/>
      <c r="P484" s="61" t="n"/>
    </row>
    <row r="485" ht="28.8" customHeight="1">
      <c r="B485" s="90" t="n">
        <v>46246</v>
      </c>
      <c r="C485" s="61" t="n">
        <v>239</v>
      </c>
      <c r="D485" s="100" t="inlineStr">
        <is>
          <t>C5 Blok 0.20 kotu vatandaşlık koridorunda, mekanik biriminin testi sırasında alçıpan duvarlar ıslanmıştır. Hasar gören alçıpan duvarlar sökülerek gerekli düzeltmeler yapılmıştır.</t>
        </is>
      </c>
      <c r="E485" s="61" t="inlineStr">
        <is>
          <t>1 Usta
1 Usta Yard.</t>
        </is>
      </c>
      <c r="F485" s="61" t="inlineStr">
        <is>
          <t>yevmiye</t>
        </is>
      </c>
      <c r="G485" s="94" t="n">
        <v>1</v>
      </c>
      <c r="H485" s="190" t="n"/>
      <c r="I485" s="183">
        <f>+G485*H485</f>
        <v/>
      </c>
      <c r="J485" s="61" t="inlineStr">
        <is>
          <t>FX Ultra Alçıpan</t>
        </is>
      </c>
      <c r="K485" s="61" t="inlineStr">
        <is>
          <t>m²</t>
        </is>
      </c>
      <c r="L485" s="61" t="n">
        <v>15</v>
      </c>
      <c r="M485" s="61" t="n"/>
      <c r="N485" s="61" t="n"/>
      <c r="O485" s="61" t="n"/>
      <c r="P485" s="61" t="n"/>
    </row>
    <row r="486" ht="28.8" customHeight="1">
      <c r="B486" s="188" t="n"/>
      <c r="C486" s="185" t="n"/>
      <c r="D486" s="188" t="n"/>
      <c r="E486" s="185" t="n"/>
      <c r="F486" s="185" t="n"/>
      <c r="G486" s="94" t="n">
        <v>1</v>
      </c>
      <c r="H486" s="190" t="n"/>
      <c r="I486" s="183">
        <f>+G486*H486</f>
        <v/>
      </c>
      <c r="J486" s="61" t="n"/>
      <c r="K486" s="61" t="n"/>
      <c r="L486" s="61" t="n"/>
      <c r="M486" s="61" t="n"/>
      <c r="N486" s="61" t="n"/>
      <c r="O486" s="61" t="n"/>
      <c r="P486" s="61" t="n"/>
    </row>
    <row r="487" ht="28.8" customHeight="1">
      <c r="B487" s="90" t="n">
        <v>46254</v>
      </c>
      <c r="C487" s="61" t="n">
        <v>240</v>
      </c>
      <c r="D487" s="100" t="inlineStr">
        <is>
          <t>C5 Blok 10.20 kotu, menfez güçlendirmeleri kiriş altına denk geldiğinden montaj yapılamadığı için güçlendirmeler kaydırılmıştır.</t>
        </is>
      </c>
      <c r="E487" s="61" t="inlineStr">
        <is>
          <t>1 Usta
1 Usta Yard.</t>
        </is>
      </c>
      <c r="F487" s="61" t="inlineStr">
        <is>
          <t>yevmiye</t>
        </is>
      </c>
      <c r="G487" s="94" t="n">
        <v>1</v>
      </c>
      <c r="H487" s="190" t="n"/>
      <c r="I487" s="183">
        <f>+G487*H487</f>
        <v/>
      </c>
      <c r="J487" s="61" t="n"/>
      <c r="K487" s="61" t="n"/>
      <c r="L487" s="61" t="n"/>
      <c r="M487" s="61" t="n"/>
      <c r="N487" s="61" t="n"/>
      <c r="O487" s="61" t="n"/>
      <c r="P487" s="61" t="n"/>
    </row>
    <row r="488" ht="28.8" customHeight="1">
      <c r="B488" s="188" t="n"/>
      <c r="C488" s="185" t="n"/>
      <c r="D488" s="188" t="n"/>
      <c r="E488" s="185" t="n"/>
      <c r="F488" s="185" t="n"/>
      <c r="G488" s="94" t="n">
        <v>1</v>
      </c>
      <c r="H488" s="190" t="n"/>
      <c r="I488" s="183">
        <f>+G488*H488</f>
        <v/>
      </c>
      <c r="J488" s="61" t="n"/>
      <c r="K488" s="61" t="n"/>
      <c r="L488" s="61" t="n"/>
      <c r="M488" s="61" t="n"/>
      <c r="N488" s="61" t="n"/>
      <c r="O488" s="61" t="n"/>
      <c r="P488" s="61" t="n"/>
    </row>
    <row r="489" ht="28.8" customHeight="1">
      <c r="B489" s="90" t="n">
        <v>46258</v>
      </c>
      <c r="C489" s="61" t="n">
        <v>241</v>
      </c>
      <c r="D489" s="100" t="inlineStr">
        <is>
          <t>C5 Blok YMC-04,MC-05,YMC-14,MC-20 merdivenlerinde yapılan ölçümler ve uygulama sırasında, kaba inşaat imalatlarındaki yüzey bozuklukları nedeniyle duvar alçı sıva kalınlıkları proje ve standart uygulama kalınlıklarının üzerine çıkmış olup yer yer 5-8 cm seviyelerine ulaşmıştır.</t>
        </is>
      </c>
      <c r="E489" s="61" t="n"/>
      <c r="F489" s="61" t="n"/>
      <c r="G489" s="94" t="n"/>
      <c r="H489" s="190" t="n"/>
      <c r="I489" s="183" t="n"/>
      <c r="J489" s="61" t="inlineStr">
        <is>
          <t>1.3.2 Duvarlara Alçı Sıva Yapılması</t>
        </is>
      </c>
      <c r="K489" s="61" t="inlineStr">
        <is>
          <t>m²</t>
        </is>
      </c>
      <c r="L489" s="61" t="n">
        <v>2740.6261</v>
      </c>
      <c r="M489" s="61" t="n"/>
      <c r="N489" s="61" t="n"/>
      <c r="O489" s="61" t="n"/>
      <c r="P489" s="61" t="n"/>
    </row>
    <row r="490" ht="28.8" customHeight="1">
      <c r="B490" s="188" t="n"/>
      <c r="C490" s="185" t="n"/>
      <c r="D490" s="188" t="n"/>
      <c r="E490" s="185" t="n"/>
      <c r="F490" s="185" t="n"/>
      <c r="G490" s="94" t="n"/>
      <c r="H490" s="190" t="n"/>
      <c r="I490" s="183" t="n"/>
      <c r="J490" s="61" t="inlineStr">
        <is>
          <t>1.3.1 Duvarlara Çimento Esaslı Sıva Yapılması</t>
        </is>
      </c>
      <c r="K490" s="61" t="inlineStr">
        <is>
          <t>m²</t>
        </is>
      </c>
      <c r="L490" s="61" t="n">
        <v>672.3505</v>
      </c>
      <c r="M490" s="61" t="n"/>
      <c r="N490" s="61" t="n"/>
      <c r="O490" s="61" t="n"/>
      <c r="P490" s="61" t="n"/>
    </row>
    <row r="491" ht="28.8" customHeight="1">
      <c r="B491" s="90" t="n">
        <v>46255</v>
      </c>
      <c r="C491" s="61" t="n">
        <v>242</v>
      </c>
      <c r="D491" s="100" t="inlineStr">
        <is>
          <t>C3 Blok 10.20 kotu,mekanik kanalları imalatlara engel olduğu için tarafımızca uygun alanlara taşınmıştır.</t>
        </is>
      </c>
      <c r="E491" s="61" t="inlineStr">
        <is>
          <t>2 Usta Yard.</t>
        </is>
      </c>
      <c r="F491" s="61" t="inlineStr">
        <is>
          <t>yevmiye</t>
        </is>
      </c>
      <c r="G491" s="94" t="n">
        <v>2</v>
      </c>
      <c r="H491" s="190" t="n"/>
      <c r="I491" s="183">
        <f>+G491*H491</f>
        <v/>
      </c>
      <c r="J491" s="61" t="n"/>
      <c r="K491" s="61" t="n"/>
      <c r="L491" s="61" t="n"/>
      <c r="M491" s="61" t="n"/>
      <c r="N491" s="61" t="n"/>
      <c r="O491" s="61" t="n"/>
      <c r="P491" s="61" t="n"/>
    </row>
    <row r="492" ht="28.8" customHeight="1">
      <c r="B492" s="90" t="n">
        <v>46256</v>
      </c>
      <c r="C492" s="61" t="n">
        <v>243</v>
      </c>
      <c r="D492" s="100" t="inlineStr">
        <is>
          <t>C5 Blok 10.20 kotunda, şap öncesinde ıslak hacimlerde yapılan alçıpan imalatları zarar görmüş olup, gerekli düzeltmeler yapılmıştır.</t>
        </is>
      </c>
      <c r="E492" s="61" t="inlineStr">
        <is>
          <t>1 Usta
1 Usta Yard.</t>
        </is>
      </c>
      <c r="F492" s="61" t="inlineStr">
        <is>
          <t>yevmiye</t>
        </is>
      </c>
      <c r="G492" s="94" t="n">
        <v>1</v>
      </c>
      <c r="H492" s="190" t="n"/>
      <c r="I492" s="183">
        <f>+G492*H492</f>
        <v/>
      </c>
      <c r="J492" s="61" t="inlineStr">
        <is>
          <t>WR ULTRA ALÇIPANEL</t>
        </is>
      </c>
      <c r="K492" s="61" t="inlineStr">
        <is>
          <t>m²</t>
        </is>
      </c>
      <c r="L492" s="61" t="n">
        <v>10</v>
      </c>
      <c r="M492" s="61" t="n"/>
      <c r="N492" s="61" t="n"/>
      <c r="O492" s="61" t="n"/>
      <c r="P492" s="61" t="n"/>
    </row>
    <row r="493" ht="28.8" customHeight="1">
      <c r="B493" s="188" t="n"/>
      <c r="C493" s="185" t="n"/>
      <c r="D493" s="188" t="n"/>
      <c r="E493" s="185" t="n"/>
      <c r="F493" s="185" t="n"/>
      <c r="G493" s="94" t="n">
        <v>1</v>
      </c>
      <c r="H493" s="190" t="n"/>
      <c r="I493" s="183">
        <f>+G493*H493</f>
        <v/>
      </c>
      <c r="J493" s="61" t="n"/>
      <c r="K493" s="61" t="n"/>
      <c r="L493" s="61" t="n"/>
      <c r="M493" s="61" t="n"/>
      <c r="N493" s="61" t="n"/>
      <c r="O493" s="61" t="n"/>
      <c r="P493" s="61" t="n"/>
    </row>
    <row r="494" ht="28.8" customHeight="1">
      <c r="B494" s="90" t="n">
        <v>46256</v>
      </c>
      <c r="C494" s="61" t="n">
        <v>244</v>
      </c>
      <c r="D494" s="100" t="inlineStr">
        <is>
          <t>C5 Blok 5.20 kotunda, pasif yangın durdurucu için duvarlarda daraltmalar yapılmıştır..</t>
        </is>
      </c>
      <c r="E494" s="61" t="inlineStr">
        <is>
          <t>2 Usta
1 Usta Yard.</t>
        </is>
      </c>
      <c r="F494" s="61" t="inlineStr">
        <is>
          <t>yevmiye</t>
        </is>
      </c>
      <c r="G494" s="94" t="n">
        <v>2</v>
      </c>
      <c r="H494" s="190" t="n"/>
      <c r="I494" s="183">
        <f>+G494*H494</f>
        <v/>
      </c>
      <c r="J494" s="61" t="n"/>
      <c r="K494" s="61" t="n"/>
      <c r="L494" s="61" t="n"/>
      <c r="M494" s="61" t="n"/>
      <c r="N494" s="61" t="n"/>
      <c r="O494" s="61" t="n"/>
      <c r="P494" s="61" t="n"/>
    </row>
    <row r="495" ht="28.8" customHeight="1">
      <c r="B495" s="188" t="n"/>
      <c r="C495" s="185" t="n"/>
      <c r="D495" s="188" t="n"/>
      <c r="E495" s="185" t="n"/>
      <c r="F495" s="185" t="n"/>
      <c r="G495" s="94" t="n">
        <v>1</v>
      </c>
      <c r="H495" s="190" t="n"/>
      <c r="I495" s="183">
        <f>+G495*H495</f>
        <v/>
      </c>
      <c r="J495" s="61" t="n"/>
      <c r="K495" s="61" t="n"/>
      <c r="L495" s="61" t="n"/>
      <c r="M495" s="61" t="n"/>
      <c r="N495" s="61" t="n"/>
      <c r="O495" s="61" t="n"/>
      <c r="P495" s="61" t="n"/>
    </row>
    <row r="496" ht="28.8" customHeight="1">
      <c r="B496" s="90" t="n">
        <v>46256</v>
      </c>
      <c r="C496" s="61" t="n">
        <v>245</v>
      </c>
      <c r="D496" s="100" t="inlineStr">
        <is>
          <t>C3 Blok 15.20 kotunda,şaft duvarlarındaki tamiratlar yapılmıştır..</t>
        </is>
      </c>
      <c r="E496" s="61" t="inlineStr">
        <is>
          <t>1 Usta
1 Usta Yard.</t>
        </is>
      </c>
      <c r="F496" s="61" t="inlineStr">
        <is>
          <t>yevmiye</t>
        </is>
      </c>
      <c r="G496" s="94" t="n">
        <v>1</v>
      </c>
      <c r="H496" s="190" t="n"/>
      <c r="I496" s="183">
        <f>+G496*H496</f>
        <v/>
      </c>
      <c r="J496" s="61" t="n"/>
      <c r="K496" s="61" t="n"/>
      <c r="L496" s="61" t="n"/>
      <c r="M496" s="61" t="n"/>
      <c r="N496" s="61" t="n"/>
      <c r="O496" s="61" t="n"/>
      <c r="P496" s="61" t="n"/>
    </row>
    <row r="497" ht="28.8" customHeight="1">
      <c r="B497" s="188" t="n"/>
      <c r="C497" s="185" t="n"/>
      <c r="D497" s="188" t="n"/>
      <c r="E497" s="185" t="n"/>
      <c r="F497" s="185" t="n"/>
      <c r="G497" s="94" t="n">
        <v>1</v>
      </c>
      <c r="H497" s="190" t="n"/>
      <c r="I497" s="183">
        <f>+G497*H497</f>
        <v/>
      </c>
      <c r="J497" s="61" t="n"/>
      <c r="K497" s="61" t="n"/>
      <c r="L497" s="61" t="n"/>
      <c r="M497" s="61" t="n"/>
      <c r="N497" s="61" t="n"/>
      <c r="O497" s="61" t="n"/>
      <c r="P497" s="61" t="n"/>
    </row>
    <row r="498" ht="28.8" customHeight="1">
      <c r="B498" s="90" t="n">
        <v>46256</v>
      </c>
      <c r="C498" s="61" t="n">
        <v>246</v>
      </c>
      <c r="D498" s="100" t="inlineStr">
        <is>
          <t>C5 Blok 0.20 kotunda,servis odaları gazbeton duvarlarındaki tamiratlar yapılmıştır..</t>
        </is>
      </c>
      <c r="E498" s="61" t="inlineStr">
        <is>
          <t>2 Usta
1 Usta Yard.</t>
        </is>
      </c>
      <c r="F498" s="61" t="inlineStr">
        <is>
          <t>yevmiye</t>
        </is>
      </c>
      <c r="G498" s="94" t="n">
        <v>2</v>
      </c>
      <c r="H498" s="190" t="n"/>
      <c r="I498" s="183">
        <f>+G498*H498</f>
        <v/>
      </c>
      <c r="J498" s="61" t="n"/>
      <c r="K498" s="61" t="n"/>
      <c r="L498" s="61" t="n"/>
      <c r="M498" s="61" t="n"/>
      <c r="N498" s="61" t="n"/>
      <c r="O498" s="61" t="n"/>
      <c r="P498" s="61" t="n"/>
    </row>
    <row r="499" ht="28.8" customHeight="1">
      <c r="B499" s="188" t="n"/>
      <c r="C499" s="185" t="n"/>
      <c r="D499" s="188" t="n"/>
      <c r="E499" s="185" t="n"/>
      <c r="F499" s="185" t="n"/>
      <c r="G499" s="94" t="n">
        <v>1</v>
      </c>
      <c r="H499" s="190" t="n"/>
      <c r="I499" s="183">
        <f>+G499*H499</f>
        <v/>
      </c>
      <c r="J499" s="61" t="n"/>
      <c r="K499" s="61" t="n"/>
      <c r="L499" s="61" t="n"/>
      <c r="M499" s="61" t="n"/>
      <c r="N499" s="61" t="n"/>
      <c r="O499" s="61" t="n"/>
      <c r="P499" s="61" t="n"/>
    </row>
    <row r="500" ht="28.8" customHeight="1">
      <c r="B500" s="90" t="n">
        <v>46258</v>
      </c>
      <c r="C500" s="61" t="n">
        <v>247</v>
      </c>
      <c r="D500" s="100" t="inlineStr">
        <is>
          <t>C3-C5 Bloklarda,pasif yangın durdurucu için duvarlarda daraltmalar yapılmıştır.</t>
        </is>
      </c>
      <c r="E500" s="61" t="inlineStr">
        <is>
          <t>3 Usta
3 Usta Yard.</t>
        </is>
      </c>
      <c r="F500" s="61" t="inlineStr">
        <is>
          <t>yevmiye</t>
        </is>
      </c>
      <c r="G500" s="94" t="n">
        <v>3</v>
      </c>
      <c r="H500" s="190" t="n"/>
      <c r="I500" s="183">
        <f>+G500*H500</f>
        <v/>
      </c>
      <c r="J500" s="61" t="n"/>
      <c r="K500" s="61" t="n"/>
      <c r="L500" s="61" t="n"/>
      <c r="M500" s="61" t="n"/>
      <c r="N500" s="61" t="n"/>
      <c r="O500" s="61" t="n"/>
      <c r="P500" s="61" t="n"/>
    </row>
    <row r="501" ht="28.8" customHeight="1">
      <c r="B501" s="188" t="n"/>
      <c r="C501" s="185" t="n"/>
      <c r="D501" s="188" t="n"/>
      <c r="E501" s="185" t="n"/>
      <c r="F501" s="185" t="n"/>
      <c r="G501" s="94" t="n">
        <v>3</v>
      </c>
      <c r="H501" s="190" t="n"/>
      <c r="I501" s="183">
        <f>+G501*H501</f>
        <v/>
      </c>
      <c r="J501" s="61" t="n"/>
      <c r="K501" s="61" t="n"/>
      <c r="L501" s="61" t="n"/>
      <c r="M501" s="61" t="n"/>
      <c r="N501" s="61" t="n"/>
      <c r="O501" s="61" t="n"/>
      <c r="P501" s="61" t="n"/>
    </row>
    <row r="502" ht="28.8" customHeight="1">
      <c r="B502" s="90" t="n">
        <v>46258</v>
      </c>
      <c r="C502" s="61" t="n">
        <v>248</v>
      </c>
      <c r="D502" s="100" t="inlineStr">
        <is>
          <t>C3-C5 Bloklar 25.20 kotunda,platform sebebi ile yıkılan ve kesilen gazbeton duvarlar yapılmıştır.</t>
        </is>
      </c>
      <c r="E502" s="61" t="inlineStr">
        <is>
          <t>3 Usta
3 Usta Yard.</t>
        </is>
      </c>
      <c r="F502" s="61" t="inlineStr">
        <is>
          <t>yevmiye</t>
        </is>
      </c>
      <c r="G502" s="94" t="n">
        <v>3</v>
      </c>
      <c r="H502" s="190" t="n"/>
      <c r="I502" s="183">
        <f>+G502*H502</f>
        <v/>
      </c>
      <c r="J502" s="61" t="inlineStr">
        <is>
          <t>15 cm gazbeton</t>
        </is>
      </c>
      <c r="K502" s="61" t="inlineStr">
        <is>
          <t>m²</t>
        </is>
      </c>
      <c r="L502" s="61" t="n">
        <v>24</v>
      </c>
      <c r="M502" s="61" t="n"/>
      <c r="N502" s="61" t="n"/>
      <c r="O502" s="61" t="n"/>
      <c r="P502" s="61" t="n"/>
    </row>
    <row r="503" ht="28.8" customHeight="1">
      <c r="B503" s="188" t="n"/>
      <c r="C503" s="185" t="n"/>
      <c r="D503" s="188" t="n"/>
      <c r="E503" s="185" t="n"/>
      <c r="F503" s="185" t="n"/>
      <c r="G503" s="94" t="n">
        <v>3</v>
      </c>
      <c r="H503" s="190" t="n"/>
      <c r="I503" s="183">
        <f>+G503*H503</f>
        <v/>
      </c>
      <c r="J503" s="61" t="n"/>
      <c r="K503" s="61" t="n"/>
      <c r="L503" s="61" t="n"/>
      <c r="M503" s="61" t="n"/>
      <c r="N503" s="61" t="n"/>
      <c r="O503" s="61" t="n"/>
      <c r="P503" s="61" t="n"/>
    </row>
    <row r="504" ht="28.8" customHeight="1">
      <c r="B504" s="90" t="n">
        <v>46259</v>
      </c>
      <c r="C504" s="61" t="n">
        <v>249</v>
      </c>
      <c r="D504" s="100" t="inlineStr">
        <is>
          <t>C5 Blok 20.20 kotunda, yıkılan gazbeton duvarlar yapılmıştır.</t>
        </is>
      </c>
      <c r="E504" s="61" t="inlineStr">
        <is>
          <t>1 Usta
1 Usta Yard.</t>
        </is>
      </c>
      <c r="F504" s="61" t="inlineStr">
        <is>
          <t>yevmiye</t>
        </is>
      </c>
      <c r="G504" s="94" t="n">
        <v>1</v>
      </c>
      <c r="H504" s="190" t="n"/>
      <c r="I504" s="183">
        <f>+G504*H504</f>
        <v/>
      </c>
      <c r="J504" s="61" t="inlineStr">
        <is>
          <t>20 cm gazbeton</t>
        </is>
      </c>
      <c r="K504" s="61" t="inlineStr">
        <is>
          <t>m²</t>
        </is>
      </c>
      <c r="L504" s="61" t="n">
        <v>10</v>
      </c>
      <c r="M504" s="61" t="n"/>
      <c r="N504" s="61" t="n"/>
      <c r="O504" s="61" t="n"/>
      <c r="P504" s="61" t="n"/>
    </row>
    <row r="505" ht="28.8" customHeight="1">
      <c r="B505" s="188" t="n"/>
      <c r="C505" s="185" t="n"/>
      <c r="D505" s="188" t="n"/>
      <c r="E505" s="185" t="n"/>
      <c r="F505" s="185" t="n"/>
      <c r="G505" s="94" t="n">
        <v>1</v>
      </c>
      <c r="H505" s="190" t="n"/>
      <c r="I505" s="183">
        <f>+G505*H505</f>
        <v/>
      </c>
      <c r="J505" s="61" t="n"/>
      <c r="K505" s="61" t="n"/>
      <c r="L505" s="61" t="n"/>
      <c r="M505" s="61" t="n"/>
      <c r="N505" s="61" t="n"/>
      <c r="O505" s="61" t="n"/>
      <c r="P505" s="61" t="n"/>
    </row>
    <row r="506" ht="28.8" customHeight="1">
      <c r="B506" s="90" t="n">
        <v>46263</v>
      </c>
      <c r="C506" s="61" t="n">
        <v>250</v>
      </c>
      <c r="D506" s="100" t="inlineStr">
        <is>
          <t>C3 Blok 25.20 kotunda, cephe imalatları sırasında alçıpan duvarlar zara görmüştür. Zarar gören duvarlar yapılmıştır.</t>
        </is>
      </c>
      <c r="E506" s="61" t="inlineStr">
        <is>
          <t>2 Usta
2 Usta Yard.</t>
        </is>
      </c>
      <c r="F506" s="61" t="inlineStr">
        <is>
          <t>yevmiye</t>
        </is>
      </c>
      <c r="G506" s="94" t="n">
        <v>2</v>
      </c>
      <c r="H506" s="190" t="n"/>
      <c r="I506" s="183">
        <f>+G506*H506</f>
        <v/>
      </c>
      <c r="J506" s="61" t="inlineStr">
        <is>
          <t>FX Ultra Alçıpan</t>
        </is>
      </c>
      <c r="K506" s="61" t="inlineStr">
        <is>
          <t>m²</t>
        </is>
      </c>
      <c r="L506" s="61" t="n">
        <v>70</v>
      </c>
      <c r="M506" s="61" t="n"/>
      <c r="N506" s="61" t="n"/>
      <c r="O506" s="61" t="n"/>
      <c r="P506" s="61" t="n"/>
    </row>
    <row r="507" ht="28.8" customHeight="1">
      <c r="B507" s="188" t="n"/>
      <c r="C507" s="185" t="n"/>
      <c r="D507" s="188" t="n"/>
      <c r="E507" s="185" t="n"/>
      <c r="F507" s="185" t="n"/>
      <c r="G507" s="94" t="n">
        <v>2</v>
      </c>
      <c r="H507" s="190" t="n"/>
      <c r="I507" s="183">
        <f>+G507*H507</f>
        <v/>
      </c>
      <c r="J507" s="61" t="n"/>
      <c r="K507" s="61" t="n"/>
      <c r="L507" s="61" t="n"/>
      <c r="M507" s="61" t="n"/>
      <c r="N507" s="61" t="n"/>
      <c r="O507" s="61" t="n"/>
      <c r="P507" s="61" t="n"/>
    </row>
    <row r="508" ht="28.8" customHeight="1">
      <c r="B508" s="90" t="n">
        <v>46265</v>
      </c>
      <c r="C508" s="61" t="n">
        <v>251</v>
      </c>
      <c r="D508" s="100" t="inlineStr">
        <is>
          <t>C5 Blok 15.20 kotunda, mekanik birimi için bırakılan alçıpan duvarın aplikasyonu zarar görmüştür. Profiller sökülüp değiştirilmiştir.</t>
        </is>
      </c>
      <c r="E508" s="61" t="inlineStr">
        <is>
          <t>1 Usta</t>
        </is>
      </c>
      <c r="F508" s="61" t="inlineStr">
        <is>
          <t>yevmiye</t>
        </is>
      </c>
      <c r="G508" s="94" t="n">
        <v>1</v>
      </c>
      <c r="H508" s="190" t="n"/>
      <c r="I508" s="183">
        <f>+G508*H508</f>
        <v/>
      </c>
      <c r="J508" s="61" t="inlineStr">
        <is>
          <t>40*20*1.5 kutu profil</t>
        </is>
      </c>
      <c r="K508" s="61" t="inlineStr">
        <is>
          <t>m</t>
        </is>
      </c>
      <c r="L508" s="61" t="n">
        <v>6.6</v>
      </c>
      <c r="M508" s="61" t="n"/>
      <c r="N508" s="61" t="n"/>
      <c r="O508" s="61" t="n"/>
      <c r="P508" s="61" t="n"/>
    </row>
    <row r="509" ht="28.8" customHeight="1">
      <c r="B509" s="90" t="n">
        <v>46272</v>
      </c>
      <c r="C509" s="61" t="n">
        <v>252</v>
      </c>
      <c r="D509" s="100" t="inlineStr">
        <is>
          <t>C5 Blok 10.20 kotunda, imalatlara engel olan malzemeler uygun alanlara taşınmıştır.</t>
        </is>
      </c>
      <c r="E509" s="61" t="inlineStr">
        <is>
          <t>2 Usta Yard.</t>
        </is>
      </c>
      <c r="F509" s="61" t="inlineStr">
        <is>
          <t>yevmiye</t>
        </is>
      </c>
      <c r="G509" s="94" t="n">
        <v>2</v>
      </c>
      <c r="H509" s="190" t="n"/>
      <c r="I509" s="183">
        <f>+G509*H509</f>
        <v/>
      </c>
      <c r="J509" s="61" t="n"/>
      <c r="K509" s="61" t="n"/>
      <c r="L509" s="61" t="n"/>
      <c r="M509" s="61" t="n"/>
      <c r="N509" s="61" t="n"/>
      <c r="O509" s="61" t="n"/>
      <c r="P509" s="61" t="n"/>
    </row>
    <row r="510" ht="28.8" customHeight="1">
      <c r="B510" s="90" t="n">
        <v>46273</v>
      </c>
      <c r="C510" s="61" t="n">
        <v>253</v>
      </c>
      <c r="D510" s="100" t="inlineStr">
        <is>
          <t>C7 Blok-10.20 kotunda, yıkılan gazbeton duvarlar yapılmıştır.</t>
        </is>
      </c>
      <c r="E510" s="61" t="inlineStr">
        <is>
          <t>2 Usta
2 Usta Yard.</t>
        </is>
      </c>
      <c r="F510" s="61" t="inlineStr">
        <is>
          <t>yevmiye</t>
        </is>
      </c>
      <c r="G510" s="94" t="n">
        <v>2</v>
      </c>
      <c r="H510" s="190" t="n"/>
      <c r="I510" s="183">
        <f>+G510*H510</f>
        <v/>
      </c>
      <c r="J510" s="61" t="inlineStr">
        <is>
          <t>15 cm gazbeton</t>
        </is>
      </c>
      <c r="K510" s="61" t="inlineStr">
        <is>
          <t>m²</t>
        </is>
      </c>
      <c r="L510" s="61" t="n">
        <v>29.04</v>
      </c>
      <c r="M510" s="61" t="n"/>
      <c r="N510" s="61" t="n"/>
      <c r="O510" s="61" t="n"/>
      <c r="P510" s="61" t="n"/>
    </row>
    <row r="511" ht="28.8" customHeight="1">
      <c r="B511" s="188" t="n"/>
      <c r="C511" s="185" t="n"/>
      <c r="D511" s="188" t="n"/>
      <c r="E511" s="185" t="n"/>
      <c r="F511" s="185" t="n"/>
      <c r="G511" s="94" t="n">
        <v>2</v>
      </c>
      <c r="H511" s="190" t="n"/>
      <c r="I511" s="183">
        <f>+G511*H511</f>
        <v/>
      </c>
      <c r="J511" s="61" t="n"/>
      <c r="K511" s="61" t="n"/>
      <c r="L511" s="61" t="n"/>
      <c r="M511" s="61" t="n"/>
      <c r="N511" s="61" t="n"/>
      <c r="O511" s="61" t="n"/>
      <c r="P511" s="61" t="n"/>
    </row>
    <row r="512" ht="28.8" customHeight="1">
      <c r="B512" s="90" t="n">
        <v>46273</v>
      </c>
      <c r="C512" s="61" t="n">
        <v>254</v>
      </c>
      <c r="D512" s="100" t="inlineStr">
        <is>
          <t>Mekanik biriminin malzemeleri metal asma tavan plakalarına zarar vermiştir. 9 paket 30*130 ve 45.5*95 plaka zarar görmüştür.</t>
        </is>
      </c>
      <c r="E512" s="61" t="n"/>
      <c r="F512" s="61" t="n"/>
      <c r="G512" s="94" t="n"/>
      <c r="H512" s="190" t="n"/>
      <c r="I512" s="183" t="n"/>
      <c r="J512" s="61" t="inlineStr">
        <is>
          <t>30*130 metal asma tavan plaka</t>
        </is>
      </c>
      <c r="K512" s="61" t="inlineStr">
        <is>
          <t>kutu</t>
        </is>
      </c>
      <c r="L512" s="61" t="n">
        <v>9</v>
      </c>
      <c r="M512" s="61" t="n"/>
      <c r="N512" s="61" t="n"/>
      <c r="O512" s="61" t="n"/>
      <c r="P512" s="61" t="n"/>
    </row>
    <row r="513" ht="28.8" customHeight="1">
      <c r="B513" s="188" t="n"/>
      <c r="C513" s="185" t="n"/>
      <c r="D513" s="188" t="n"/>
      <c r="E513" s="185" t="n"/>
      <c r="F513" s="185" t="n"/>
      <c r="G513" s="94" t="n"/>
      <c r="H513" s="190" t="n"/>
      <c r="I513" s="183" t="n"/>
      <c r="J513" s="61" t="inlineStr">
        <is>
          <t>45.5*95 metal asma tavan plaka</t>
        </is>
      </c>
      <c r="K513" s="61" t="inlineStr">
        <is>
          <t>kutu</t>
        </is>
      </c>
      <c r="L513" s="61" t="n">
        <v>9</v>
      </c>
      <c r="M513" s="61" t="n"/>
      <c r="N513" s="61" t="n"/>
      <c r="O513" s="61" t="n"/>
      <c r="P513" s="61" t="n"/>
    </row>
    <row r="514" ht="28.8" customHeight="1">
      <c r="B514" s="90" t="n">
        <v>46274</v>
      </c>
      <c r="C514" s="61" t="n">
        <v>255</v>
      </c>
      <c r="D514" s="100" t="inlineStr">
        <is>
          <t>C7 Blok-10.20 kotunda, yıkılan gazbeton duvar ve hatıllar yapılmıştır.</t>
        </is>
      </c>
      <c r="E514" s="61" t="inlineStr">
        <is>
          <t>2 Usta
2 Usta Yard.</t>
        </is>
      </c>
      <c r="F514" s="61" t="inlineStr">
        <is>
          <t>yevmiye</t>
        </is>
      </c>
      <c r="G514" s="94" t="n">
        <v>2</v>
      </c>
      <c r="H514" s="190" t="n"/>
      <c r="I514" s="183">
        <f>+G514*H514</f>
        <v/>
      </c>
      <c r="J514" s="61" t="inlineStr">
        <is>
          <t>15 cm gazbeton</t>
        </is>
      </c>
      <c r="K514" s="61" t="inlineStr">
        <is>
          <t>m²</t>
        </is>
      </c>
      <c r="L514" s="61" t="n">
        <v>29.04</v>
      </c>
      <c r="M514" s="61" t="n"/>
      <c r="N514" s="61" t="n"/>
      <c r="O514" s="61" t="n"/>
      <c r="P514" s="61" t="n"/>
    </row>
    <row r="515" ht="28.8" customHeight="1">
      <c r="B515" s="188" t="n"/>
      <c r="C515" s="185" t="n"/>
      <c r="D515" s="188" t="n"/>
      <c r="E515" s="185" t="n"/>
      <c r="F515" s="185" t="n"/>
      <c r="G515" s="94" t="n">
        <v>2</v>
      </c>
      <c r="H515" s="190" t="n"/>
      <c r="I515" s="183">
        <f>+G515*H515</f>
        <v/>
      </c>
      <c r="J515" s="61" t="n"/>
      <c r="K515" s="61" t="n"/>
      <c r="L515" s="61" t="n"/>
      <c r="M515" s="61" t="n"/>
      <c r="N515" s="61" t="n"/>
      <c r="O515" s="61" t="n"/>
      <c r="P515" s="61" t="n"/>
    </row>
    <row r="516" ht="28.8" customHeight="1">
      <c r="B516" s="90" t="n">
        <v>46281</v>
      </c>
      <c r="C516" s="61" t="n">
        <v>256</v>
      </c>
      <c r="D516" s="100" t="inlineStr">
        <is>
          <t>Sözleşme gereği işveren tarafından talep edilen isg uzmanı bedeli.</t>
        </is>
      </c>
      <c r="E516" s="61" t="inlineStr">
        <is>
          <t>2 İSG Personeli</t>
        </is>
      </c>
      <c r="F516" s="61" t="inlineStr">
        <is>
          <t>ücret</t>
        </is>
      </c>
      <c r="G516" s="94" t="n">
        <v>1.73</v>
      </c>
      <c r="H516" s="190" t="n"/>
      <c r="I516" s="183">
        <f>+G516*H516</f>
        <v/>
      </c>
      <c r="J516" s="61" t="n"/>
      <c r="K516" s="61" t="n"/>
      <c r="L516" s="61" t="n"/>
      <c r="M516" s="61" t="n"/>
      <c r="N516" s="61" t="n"/>
      <c r="O516" s="61" t="n"/>
      <c r="P516" s="61" t="n"/>
    </row>
    <row r="517" ht="28.8" customHeight="1">
      <c r="B517" s="90" t="n">
        <v>46281</v>
      </c>
      <c r="C517" s="61" t="n">
        <v>257</v>
      </c>
      <c r="D517" s="100" t="inlineStr">
        <is>
          <t>Sözleşme gereği işveren tarafından talep edilen isg uzmanı bedeli.</t>
        </is>
      </c>
      <c r="E517" s="61" t="inlineStr">
        <is>
          <t>1 İSG Personeli</t>
        </is>
      </c>
      <c r="F517" s="61" t="inlineStr">
        <is>
          <t>ücret</t>
        </is>
      </c>
      <c r="G517" s="94" t="n">
        <v>1</v>
      </c>
      <c r="H517" s="190" t="n"/>
      <c r="I517" s="183">
        <f>+G517*H517</f>
        <v/>
      </c>
      <c r="J517" s="61" t="n"/>
      <c r="K517" s="61" t="n"/>
      <c r="L517" s="61" t="n"/>
      <c r="M517" s="61" t="n"/>
      <c r="N517" s="61" t="n"/>
      <c r="O517" s="61" t="n"/>
      <c r="P517" s="61" t="n"/>
    </row>
    <row r="518" ht="28.8" customHeight="1">
      <c r="B518" s="90" t="n">
        <v>46281</v>
      </c>
      <c r="C518" s="61" t="n">
        <v>258</v>
      </c>
      <c r="D518" s="100" t="inlineStr">
        <is>
          <t>C3 Blok 20.20 kotunda, mekanik biriminin malzemeleri imalatlara engel olduğndan tarafımızca uygun alanlara taşınmıştır.</t>
        </is>
      </c>
      <c r="E518" s="61" t="inlineStr">
        <is>
          <t>2 Usta Yard.</t>
        </is>
      </c>
      <c r="F518" s="61" t="inlineStr">
        <is>
          <t>yevmiye</t>
        </is>
      </c>
      <c r="G518" s="94" t="n">
        <v>2</v>
      </c>
      <c r="H518" s="190" t="n"/>
      <c r="I518" s="183">
        <f>+G518*H518</f>
        <v/>
      </c>
      <c r="J518" s="61" t="n"/>
      <c r="K518" s="61" t="n"/>
      <c r="L518" s="61" t="n"/>
      <c r="M518" s="61" t="n"/>
      <c r="N518" s="61" t="n"/>
      <c r="O518" s="61" t="n"/>
      <c r="P518" s="61" t="n"/>
    </row>
    <row r="519" ht="28.8" customHeight="1">
      <c r="B519" s="90" t="n">
        <v>46281</v>
      </c>
      <c r="C519" s="61" t="n">
        <v>259</v>
      </c>
      <c r="D519" s="100" t="inlineStr">
        <is>
          <t>C6 Blok -10.20 kotu C-B1-459 mahallinde, yıkılan gazbeton duvar ve hatıllara ait molozlar alınarak, gazbeton duvar ve hatıl imalatları yeniden yapılmıştır.</t>
        </is>
      </c>
      <c r="E519" s="61" t="inlineStr">
        <is>
          <t>1 Usta
1 Usta Yard.</t>
        </is>
      </c>
      <c r="F519" s="61" t="inlineStr">
        <is>
          <t>yevmiye</t>
        </is>
      </c>
      <c r="G519" s="94" t="n">
        <v>1</v>
      </c>
      <c r="H519" s="190" t="n"/>
      <c r="I519" s="183">
        <f>+G519*H519</f>
        <v/>
      </c>
      <c r="J519" s="61" t="inlineStr">
        <is>
          <t>1.1.1_15 cm Kalınlığındaki Techizatsız Gazbeton Duvar Blokları İle Duvar Yapılması</t>
        </is>
      </c>
      <c r="K519" s="61" t="inlineStr">
        <is>
          <t>m²</t>
        </is>
      </c>
      <c r="L519" s="61" t="n">
        <v>31.45</v>
      </c>
      <c r="M519" s="61" t="n"/>
      <c r="N519" s="61" t="n"/>
      <c r="O519" s="61" t="n"/>
      <c r="P519" s="61" t="n"/>
    </row>
    <row r="520" ht="28.8" customHeight="1">
      <c r="B520" s="188" t="n"/>
      <c r="C520" s="188" t="n"/>
      <c r="D520" s="188" t="n"/>
      <c r="E520" s="188" t="n"/>
      <c r="F520" s="188" t="n"/>
      <c r="G520" s="94" t="n">
        <v>1</v>
      </c>
      <c r="H520" s="190" t="n"/>
      <c r="I520" s="183">
        <f>+G520*H520</f>
        <v/>
      </c>
      <c r="J520" s="61" t="inlineStr">
        <is>
          <t>1.1.4_Betonarme Düşey Hatıl Yapılması</t>
        </is>
      </c>
      <c r="K520" s="61" t="inlineStr">
        <is>
          <t>m³</t>
        </is>
      </c>
      <c r="L520" s="61" t="n">
        <v>0.13</v>
      </c>
      <c r="M520" s="61" t="n"/>
      <c r="N520" s="61" t="n"/>
      <c r="O520" s="61" t="n"/>
      <c r="P520" s="61" t="n"/>
    </row>
    <row r="521" ht="28.8" customHeight="1">
      <c r="B521" s="188" t="n"/>
      <c r="C521" s="188" t="n"/>
      <c r="D521" s="188" t="n"/>
      <c r="E521" s="188" t="n"/>
      <c r="F521" s="188" t="n"/>
      <c r="G521" s="94" t="n"/>
      <c r="H521" s="190" t="n"/>
      <c r="I521" s="183" t="n"/>
      <c r="J521" s="61" t="inlineStr">
        <is>
          <t>15 cm gazbeton</t>
        </is>
      </c>
      <c r="K521" s="61" t="inlineStr">
        <is>
          <t>m²</t>
        </is>
      </c>
      <c r="L521" s="61" t="n">
        <v>31.45</v>
      </c>
      <c r="M521" s="61" t="n"/>
      <c r="N521" s="61" t="n"/>
      <c r="O521" s="61" t="n"/>
      <c r="P521" s="61" t="n"/>
    </row>
    <row r="522" ht="28.8" customHeight="1">
      <c r="B522" s="188" t="n"/>
      <c r="C522" s="185" t="n"/>
      <c r="D522" s="188" t="n"/>
      <c r="E522" s="185" t="n"/>
      <c r="F522" s="185" t="n"/>
      <c r="G522" s="94" t="n"/>
      <c r="H522" s="190" t="n"/>
      <c r="I522" s="183" t="n"/>
      <c r="J522" s="61" t="inlineStr">
        <is>
          <t>Hatıl Betonu</t>
        </is>
      </c>
      <c r="K522" s="61" t="inlineStr">
        <is>
          <t>m³</t>
        </is>
      </c>
      <c r="L522" s="61" t="n">
        <v>0.13</v>
      </c>
      <c r="M522" s="61" t="n"/>
      <c r="N522" s="61" t="n"/>
      <c r="O522" s="61" t="n"/>
      <c r="P522" s="61" t="n"/>
    </row>
    <row r="523" ht="28.8" customHeight="1">
      <c r="B523" s="90" t="n">
        <v>46282</v>
      </c>
      <c r="C523" s="61" t="n">
        <v>260</v>
      </c>
      <c r="D523" s="100" t="inlineStr">
        <is>
          <t>C3 Blok 15.20 kotunda, elektrik biriminin imalatı tamamlanmadığı için metal asma tavanlarda plakalar sökülmüştür.</t>
        </is>
      </c>
      <c r="E523" s="61" t="inlineStr">
        <is>
          <t>1 Usta
1 Usta Yard.</t>
        </is>
      </c>
      <c r="F523" s="61" t="inlineStr">
        <is>
          <t>yevmiye</t>
        </is>
      </c>
      <c r="G523" s="94" t="n">
        <v>1</v>
      </c>
      <c r="H523" s="190" t="n"/>
      <c r="I523" s="183">
        <f>+G523*H523</f>
        <v/>
      </c>
      <c r="J523" s="61" t="n"/>
      <c r="K523" s="61" t="n"/>
      <c r="L523" s="61" t="n"/>
      <c r="M523" s="61" t="n"/>
      <c r="N523" s="61" t="n"/>
      <c r="O523" s="61" t="n"/>
      <c r="P523" s="61" t="n"/>
    </row>
    <row r="524" ht="28.8" customHeight="1">
      <c r="B524" s="188" t="n"/>
      <c r="C524" s="185" t="n"/>
      <c r="D524" s="188" t="n"/>
      <c r="E524" s="185" t="n"/>
      <c r="F524" s="185" t="n"/>
      <c r="G524" s="94" t="n">
        <v>1</v>
      </c>
      <c r="H524" s="190" t="n"/>
      <c r="I524" s="183">
        <f>+G524*H524</f>
        <v/>
      </c>
      <c r="J524" s="61" t="n"/>
      <c r="K524" s="61" t="n"/>
      <c r="L524" s="61" t="n"/>
      <c r="M524" s="61" t="n"/>
      <c r="N524" s="61" t="n"/>
      <c r="O524" s="61" t="n"/>
      <c r="P524" s="61" t="n"/>
    </row>
    <row r="525" ht="28.8" customHeight="1">
      <c r="B525" s="90" t="n">
        <v>46283</v>
      </c>
      <c r="C525" s="61" t="n">
        <v>261</v>
      </c>
      <c r="D525" s="100" t="inlineStr">
        <is>
          <t>C3 Blok 15.20 kotunda, elektrik biriminin çalışmaları sırasında metal asma tavanlarda hasar meydana gelmiştir. Çalışma alanında panel açılmasına rağmen, metal asma tavan plakaları arasında boşluklar oluşturulmuş, taşıyıcı profiller deforme olmuş, plakalar yerlerinden çıkartılmış ve tavanın gönyesi bozulmuştur.</t>
        </is>
      </c>
      <c r="E525" s="61" t="inlineStr">
        <is>
          <t>4 Usta
4 Usta Yard.</t>
        </is>
      </c>
      <c r="F525" s="61" t="inlineStr">
        <is>
          <t>yevmiye</t>
        </is>
      </c>
      <c r="G525" s="94" t="n">
        <v>4</v>
      </c>
      <c r="H525" s="190" t="n"/>
      <c r="I525" s="183">
        <f>+G525*H525</f>
        <v/>
      </c>
      <c r="J525" s="61" t="n"/>
      <c r="K525" s="61" t="n"/>
      <c r="L525" s="61" t="n"/>
      <c r="M525" s="61" t="n"/>
      <c r="N525" s="61" t="n"/>
      <c r="O525" s="61" t="n"/>
      <c r="P525" s="61" t="n"/>
    </row>
    <row r="526" ht="28.8" customHeight="1">
      <c r="B526" s="188" t="n"/>
      <c r="C526" s="185" t="n"/>
      <c r="D526" s="188" t="n"/>
      <c r="E526" s="185" t="n"/>
      <c r="F526" s="185" t="n"/>
      <c r="G526" s="94" t="n">
        <v>4</v>
      </c>
      <c r="H526" s="190" t="n"/>
      <c r="I526" s="183">
        <f>+G526*H526</f>
        <v/>
      </c>
      <c r="J526" s="61" t="n"/>
      <c r="K526" s="61" t="n"/>
      <c r="L526" s="61" t="n"/>
      <c r="M526" s="61" t="n"/>
      <c r="N526" s="61" t="n"/>
      <c r="O526" s="61" t="n"/>
      <c r="P526" s="61" t="n"/>
    </row>
    <row r="527" ht="28.8" customHeight="1">
      <c r="B527" s="90" t="n">
        <v>46283</v>
      </c>
      <c r="C527" s="61" t="n">
        <v>262</v>
      </c>
      <c r="D527" s="100" t="inlineStr">
        <is>
          <t>C5 Blok 25.20 kotunda, imalatlarımıza engel olan iskeleler tarafımızca uygun alanlara alınmıştır.</t>
        </is>
      </c>
      <c r="E527" s="61" t="inlineStr">
        <is>
          <t>2 Usta Yard.</t>
        </is>
      </c>
      <c r="F527" s="61" t="inlineStr">
        <is>
          <t>yevmiye</t>
        </is>
      </c>
      <c r="G527" s="94" t="n">
        <v>2</v>
      </c>
      <c r="H527" s="190" t="n"/>
      <c r="I527" s="183">
        <f>+G527*H527</f>
        <v/>
      </c>
      <c r="J527" s="61" t="n"/>
      <c r="K527" s="61" t="n"/>
      <c r="L527" s="61" t="n"/>
      <c r="M527" s="61" t="n"/>
      <c r="N527" s="61" t="n"/>
      <c r="O527" s="61" t="n"/>
      <c r="P527" s="61" t="n"/>
    </row>
    <row r="528" ht="28.8" customHeight="1">
      <c r="B528" s="90" t="n">
        <v>46283</v>
      </c>
      <c r="C528" s="61" t="n">
        <v>263</v>
      </c>
      <c r="D528" s="100" t="inlineStr">
        <is>
          <t>İsg biriminin talebi ile 10 adet pano yapılmıştır.</t>
        </is>
      </c>
      <c r="E528" s="61" t="inlineStr">
        <is>
          <t>1 Usta
1 Usta Yard.</t>
        </is>
      </c>
      <c r="F528" s="61" t="inlineStr">
        <is>
          <t>yevmiye</t>
        </is>
      </c>
      <c r="G528" s="94" t="n">
        <v>1</v>
      </c>
      <c r="H528" s="190" t="n"/>
      <c r="I528" s="183">
        <f>+G528*H528</f>
        <v/>
      </c>
      <c r="J528" s="61" t="inlineStr">
        <is>
          <t>40*40*2 mm Kutu Profil</t>
        </is>
      </c>
      <c r="K528" s="61" t="inlineStr">
        <is>
          <t>m</t>
        </is>
      </c>
      <c r="L528" s="61" t="n">
        <v>60</v>
      </c>
      <c r="M528" s="61" t="n"/>
      <c r="N528" s="61" t="n"/>
      <c r="O528" s="61" t="n"/>
      <c r="P528" s="61" t="n"/>
    </row>
    <row r="529" ht="28.8" customHeight="1">
      <c r="B529" s="188" t="n"/>
      <c r="C529" s="185" t="n"/>
      <c r="D529" s="188" t="n"/>
      <c r="E529" s="185" t="n"/>
      <c r="F529" s="185" t="n"/>
      <c r="G529" s="94" t="n">
        <v>1</v>
      </c>
      <c r="H529" s="190" t="n"/>
      <c r="I529" s="183">
        <f>+G529*H529</f>
        <v/>
      </c>
      <c r="J529" s="61" t="inlineStr">
        <is>
          <t>FX Ultra Alçıpan</t>
        </is>
      </c>
      <c r="K529" s="61" t="inlineStr">
        <is>
          <t>m²</t>
        </is>
      </c>
      <c r="L529" s="61" t="n">
        <v>6</v>
      </c>
      <c r="M529" s="61" t="n"/>
      <c r="N529" s="61" t="n"/>
      <c r="O529" s="61" t="n"/>
      <c r="P529" s="61" t="n"/>
    </row>
    <row r="530" ht="28.8" customHeight="1">
      <c r="B530" s="90" t="n">
        <v>46283</v>
      </c>
      <c r="C530" s="61" t="n">
        <v>264</v>
      </c>
      <c r="D530" s="100" t="inlineStr">
        <is>
          <t>stok sahasında malzeme alımına engel olan aquapaneller uygun alanlara taşınmıştır.</t>
        </is>
      </c>
      <c r="E530" s="61" t="inlineStr">
        <is>
          <t>2 Usta Yard.</t>
        </is>
      </c>
      <c r="F530" s="61" t="inlineStr">
        <is>
          <t>yevmiye</t>
        </is>
      </c>
      <c r="G530" s="94" t="n">
        <v>2</v>
      </c>
      <c r="H530" s="190" t="n"/>
      <c r="I530" s="183">
        <f>+G530*H530</f>
        <v/>
      </c>
      <c r="J530" s="61" t="n"/>
      <c r="K530" s="61" t="n"/>
      <c r="L530" s="61" t="n"/>
      <c r="M530" s="61" t="n"/>
      <c r="N530" s="61" t="n"/>
      <c r="O530" s="61" t="n"/>
      <c r="P530" s="61" t="n"/>
    </row>
    <row r="531" ht="28.8" customHeight="1">
      <c r="B531" s="90" t="n">
        <v>46284</v>
      </c>
      <c r="C531" s="61" t="n">
        <v>265</v>
      </c>
      <c r="D531" s="100" t="inlineStr">
        <is>
          <t>C3 Blok 20.20 kotunda, mekanik biriminin çalışmaları sırasında asma tavana zarar verilmiştir. Zarar gören alanlarda alçıpan ve saten tamiratları yapılmıştır.</t>
        </is>
      </c>
      <c r="E531" s="61" t="inlineStr">
        <is>
          <t>2 Usta
1 Usta Yard.</t>
        </is>
      </c>
      <c r="F531" s="61" t="inlineStr">
        <is>
          <t>yevmiye</t>
        </is>
      </c>
      <c r="G531" s="94" t="n">
        <v>2</v>
      </c>
      <c r="H531" s="190" t="n"/>
      <c r="I531" s="183">
        <f>+G531*H531</f>
        <v/>
      </c>
      <c r="J531" s="61" t="n"/>
      <c r="K531" s="61" t="n"/>
      <c r="L531" s="61" t="n"/>
      <c r="M531" s="61" t="n"/>
      <c r="N531" s="61" t="n"/>
      <c r="O531" s="61" t="n"/>
      <c r="P531" s="61" t="n"/>
    </row>
    <row r="532" ht="28.8" customHeight="1">
      <c r="B532" s="188" t="n"/>
      <c r="C532" s="185" t="n"/>
      <c r="D532" s="188" t="n"/>
      <c r="E532" s="185" t="n"/>
      <c r="F532" s="185" t="n"/>
      <c r="G532" s="94" t="n">
        <v>1</v>
      </c>
      <c r="H532" s="190" t="n"/>
      <c r="I532" s="183">
        <f>+G532*H532</f>
        <v/>
      </c>
      <c r="J532" s="61" t="n"/>
      <c r="K532" s="61" t="n"/>
      <c r="L532" s="61" t="n"/>
      <c r="M532" s="61" t="n"/>
      <c r="N532" s="61" t="n"/>
      <c r="O532" s="61" t="n"/>
      <c r="P532" s="61" t="n"/>
    </row>
    <row r="533" ht="28.8" customHeight="1">
      <c r="B533" s="90" t="n">
        <v>46282</v>
      </c>
      <c r="C533" s="61" t="n">
        <v>266</v>
      </c>
      <c r="D533" s="100" t="inlineStr">
        <is>
          <t>C7 Blok -4.20 kotu C-AZ-434 mahallinde, yıkılan gazbeton duvar ve hatıllara ait molozlar alınarak, gazbeton duvar ve hatıl imalatları yeniden yapılmıştır.</t>
        </is>
      </c>
      <c r="E533" s="61" t="inlineStr">
        <is>
          <t>3 Usta
6 Usta Yard.</t>
        </is>
      </c>
      <c r="F533" s="61" t="inlineStr">
        <is>
          <t>yevmiye</t>
        </is>
      </c>
      <c r="G533" s="94" t="n">
        <v>3</v>
      </c>
      <c r="H533" s="190" t="n"/>
      <c r="I533" s="183">
        <f>+G533*H533</f>
        <v/>
      </c>
      <c r="J533" s="61" t="inlineStr">
        <is>
          <t>1.1.1_15 cm Kalınlığındaki Techizatsız Gazbeton Duvar Blokları İle Duvar Yapılması</t>
        </is>
      </c>
      <c r="K533" s="61" t="inlineStr">
        <is>
          <t>m²</t>
        </is>
      </c>
      <c r="L533" s="61" t="n">
        <v>48.75</v>
      </c>
      <c r="M533" s="61" t="n"/>
      <c r="N533" s="61" t="n"/>
      <c r="O533" s="61" t="n"/>
      <c r="P533" s="61" t="n"/>
    </row>
    <row r="534" ht="28.8" customHeight="1">
      <c r="B534" s="188" t="n"/>
      <c r="C534" s="188" t="n"/>
      <c r="D534" s="188" t="n"/>
      <c r="E534" s="188" t="n"/>
      <c r="F534" s="188" t="n"/>
      <c r="G534" s="94" t="n">
        <v>6</v>
      </c>
      <c r="H534" s="190" t="n"/>
      <c r="I534" s="183">
        <f>+G534*H534</f>
        <v/>
      </c>
      <c r="J534" s="61" t="inlineStr">
        <is>
          <t>1.1.4_Betonarme Düşey Hatıl Yapılması</t>
        </is>
      </c>
      <c r="K534" s="61" t="inlineStr">
        <is>
          <t>m³</t>
        </is>
      </c>
      <c r="L534" s="61" t="n">
        <v>0.13</v>
      </c>
      <c r="M534" s="61" t="n"/>
      <c r="N534" s="61" t="n"/>
      <c r="O534" s="61" t="n"/>
      <c r="P534" s="61" t="n"/>
    </row>
    <row r="535" ht="28.8" customHeight="1">
      <c r="B535" s="188" t="n"/>
      <c r="C535" s="188" t="n"/>
      <c r="D535" s="188" t="n"/>
      <c r="E535" s="188" t="n"/>
      <c r="F535" s="188" t="n"/>
      <c r="G535" s="94" t="n"/>
      <c r="H535" s="190" t="n"/>
      <c r="I535" s="183" t="n"/>
      <c r="J535" s="61" t="inlineStr">
        <is>
          <t>15 cm gazbeton</t>
        </is>
      </c>
      <c r="K535" s="61" t="inlineStr">
        <is>
          <t>m²</t>
        </is>
      </c>
      <c r="L535" s="61" t="n">
        <v>48.75</v>
      </c>
      <c r="M535" s="61" t="n"/>
      <c r="N535" s="61" t="n"/>
      <c r="O535" s="61" t="n"/>
      <c r="P535" s="61" t="n"/>
    </row>
    <row r="536" ht="28.8" customHeight="1">
      <c r="B536" s="188" t="n"/>
      <c r="C536" s="185" t="n"/>
      <c r="D536" s="188" t="n"/>
      <c r="E536" s="185" t="n"/>
      <c r="F536" s="185" t="n"/>
      <c r="G536" s="94" t="n"/>
      <c r="H536" s="190" t="n"/>
      <c r="I536" s="183" t="n"/>
      <c r="J536" s="61" t="inlineStr">
        <is>
          <t>Hatıl Betonu</t>
        </is>
      </c>
      <c r="K536" s="61" t="inlineStr">
        <is>
          <t>m³</t>
        </is>
      </c>
      <c r="L536" s="61" t="n">
        <v>0.13</v>
      </c>
      <c r="M536" s="61" t="n"/>
      <c r="N536" s="61" t="n"/>
      <c r="O536" s="61" t="n"/>
      <c r="P536" s="61" t="n"/>
    </row>
    <row r="537" ht="28.8" customHeight="1">
      <c r="B537" s="90" t="n">
        <v>46289</v>
      </c>
      <c r="C537" s="61" t="n">
        <v>267</v>
      </c>
      <c r="D537" s="100" t="inlineStr">
        <is>
          <t>C3 Blok MC10- C5 Blok MC06,MC11 merdivenlerinde yapılan ölçümler ve uygulama sırasında, kaba inşaat imalatlarındaki yüzey bozuklukları nedeniyle duvar alçı sıva kalınlıkları proje ve standart uygulama kalınlıklarının üzerine çıkmış olup yer yer 5-8 cm seviyelerine ulaşmıştır.</t>
        </is>
      </c>
      <c r="E537" s="61" t="n"/>
      <c r="F537" s="61" t="n"/>
      <c r="G537" s="94" t="n"/>
      <c r="H537" s="190" t="n"/>
      <c r="I537" s="183" t="n"/>
      <c r="J537" s="61" t="inlineStr">
        <is>
          <t>1.3.2 Duvarlara Alçı Sıva Yapılması</t>
        </is>
      </c>
      <c r="K537" s="61" t="inlineStr">
        <is>
          <t>m²</t>
        </is>
      </c>
      <c r="L537" s="61" t="n">
        <v>1701.0641</v>
      </c>
      <c r="M537" s="61" t="n"/>
      <c r="N537" s="61" t="n"/>
      <c r="O537" s="61" t="n"/>
      <c r="P537" s="61" t="n"/>
    </row>
    <row r="538" ht="28.8" customHeight="1">
      <c r="B538" s="188" t="n"/>
      <c r="C538" s="185" t="n"/>
      <c r="D538" s="188" t="n"/>
      <c r="E538" s="185" t="n"/>
      <c r="F538" s="185" t="n"/>
      <c r="G538" s="94" t="n"/>
      <c r="H538" s="190" t="n"/>
      <c r="I538" s="183" t="n"/>
      <c r="J538" s="61" t="inlineStr">
        <is>
          <t>1.3.1 Duvarlara Çimento Esaslı Sıva Yapılması</t>
        </is>
      </c>
      <c r="K538" s="61" t="inlineStr">
        <is>
          <t>m²</t>
        </is>
      </c>
      <c r="L538" s="61" t="n">
        <v>491.0851</v>
      </c>
      <c r="M538" s="61" t="n"/>
      <c r="N538" s="61" t="n"/>
      <c r="O538" s="61" t="n"/>
      <c r="P538" s="61" t="n"/>
    </row>
    <row r="539" ht="28.8" customHeight="1">
      <c r="B539" s="90" t="n">
        <v>46286</v>
      </c>
      <c r="C539" s="61" t="n">
        <v>268</v>
      </c>
      <c r="D539" s="100" t="inlineStr">
        <is>
          <t>C5 Blok 20.20 kotunda, mekanik çalışmalar sırasında asma tavan dikmeleri kesilerek zarar görmüştür. Kesilen dikmeler yenileri ile değiştirilmiştir.</t>
        </is>
      </c>
      <c r="E539" s="61" t="inlineStr">
        <is>
          <t>1 Usta
1 Usta Yard.</t>
        </is>
      </c>
      <c r="F539" s="61" t="inlineStr">
        <is>
          <t>yevmiye</t>
        </is>
      </c>
      <c r="G539" s="94" t="n">
        <v>1</v>
      </c>
      <c r="H539" s="190" t="n"/>
      <c r="I539" s="183">
        <f>+G539*H539</f>
        <v/>
      </c>
      <c r="J539" s="61" t="inlineStr">
        <is>
          <t>40*20*1.5 mm Kutu Profil</t>
        </is>
      </c>
      <c r="K539" s="61" t="inlineStr">
        <is>
          <t>m</t>
        </is>
      </c>
      <c r="L539" s="61" t="n">
        <v>22.8</v>
      </c>
      <c r="M539" s="61" t="n"/>
      <c r="N539" s="61" t="n"/>
      <c r="O539" s="61" t="n"/>
      <c r="P539" s="61" t="n"/>
    </row>
    <row r="540" ht="28.8" customHeight="1">
      <c r="B540" s="188" t="n"/>
      <c r="C540" s="185" t="n"/>
      <c r="D540" s="188" t="n"/>
      <c r="E540" s="185" t="n"/>
      <c r="F540" s="185" t="n"/>
      <c r="G540" s="94" t="n">
        <v>1</v>
      </c>
      <c r="H540" s="190" t="n"/>
      <c r="I540" s="183">
        <f>+G540*H540</f>
        <v/>
      </c>
      <c r="J540" s="61" t="n"/>
      <c r="K540" s="61" t="n"/>
      <c r="L540" s="61" t="n"/>
      <c r="M540" s="61" t="n"/>
      <c r="N540" s="61" t="n"/>
      <c r="O540" s="61" t="n"/>
      <c r="P540" s="61" t="n"/>
    </row>
    <row r="541" ht="28.8" customHeight="1">
      <c r="B541" s="90" t="n">
        <v>46287</v>
      </c>
      <c r="C541" s="61" t="n">
        <v>269</v>
      </c>
      <c r="D541" s="100" t="inlineStr">
        <is>
          <t>C3 Blok 0.20 kotunda, kısıtlı koridorlarda yapılan çalışmalar sırasında metal asma tavana zarar verilmiş, tavan plakaları açılmış ve taşıyıcı aksı kaydırılmıştır. Oluşan hasar ve deformasyonlar giderilmiştir.</t>
        </is>
      </c>
      <c r="E541" s="61" t="inlineStr">
        <is>
          <t>2 Usta
2 Usta Yard.</t>
        </is>
      </c>
      <c r="F541" s="61" t="inlineStr">
        <is>
          <t>yevmiye</t>
        </is>
      </c>
      <c r="G541" s="94" t="n">
        <v>2</v>
      </c>
      <c r="H541" s="190" t="n"/>
      <c r="I541" s="183">
        <f>+G541*H541</f>
        <v/>
      </c>
      <c r="J541" s="61" t="n"/>
      <c r="K541" s="61" t="n"/>
      <c r="L541" s="61" t="n"/>
      <c r="M541" s="61" t="n"/>
      <c r="N541" s="61" t="n"/>
      <c r="O541" s="61" t="n"/>
      <c r="P541" s="61" t="n"/>
    </row>
    <row r="542" ht="28.8" customHeight="1">
      <c r="B542" s="188" t="n"/>
      <c r="C542" s="185" t="n"/>
      <c r="D542" s="188" t="n"/>
      <c r="E542" s="185" t="n"/>
      <c r="F542" s="185" t="n"/>
      <c r="G542" s="94" t="n">
        <v>2</v>
      </c>
      <c r="H542" s="190" t="n"/>
      <c r="I542" s="183">
        <f>+G542*H542</f>
        <v/>
      </c>
      <c r="J542" s="61" t="n"/>
      <c r="K542" s="61" t="n"/>
      <c r="L542" s="61" t="n"/>
      <c r="M542" s="61" t="n"/>
      <c r="N542" s="61" t="n"/>
      <c r="O542" s="61" t="n"/>
      <c r="P542" s="61" t="n"/>
    </row>
    <row r="543" ht="28.8" customHeight="1">
      <c r="B543" s="90" t="n">
        <v>46288</v>
      </c>
      <c r="C543" s="61" t="n">
        <v>270</v>
      </c>
      <c r="D543" s="100" t="inlineStr">
        <is>
          <t>C3 ve C5 Blok 15.20 kotunda, ıslak hacimlerde bulunan kutu profil güçlendirmeleri mekanik firması tarafından sökülmüştür. Sökülen kutu profil güçlendirmeleri tamamlanmıştır.</t>
        </is>
      </c>
      <c r="E543" s="61" t="inlineStr">
        <is>
          <t>2 Usta
2 Usta Yard.</t>
        </is>
      </c>
      <c r="F543" s="61" t="inlineStr">
        <is>
          <t>yevmiye</t>
        </is>
      </c>
      <c r="G543" s="94" t="n">
        <v>2</v>
      </c>
      <c r="H543" s="190" t="n"/>
      <c r="I543" s="183">
        <f>+G543*H543</f>
        <v/>
      </c>
      <c r="J543" s="61" t="n"/>
      <c r="K543" s="61" t="n"/>
      <c r="L543" s="61" t="n"/>
      <c r="M543" s="61" t="n"/>
      <c r="N543" s="61" t="n"/>
      <c r="O543" s="61" t="n"/>
      <c r="P543" s="61" t="n"/>
    </row>
    <row r="544" ht="28.8" customHeight="1">
      <c r="B544" s="188" t="n"/>
      <c r="C544" s="185" t="n"/>
      <c r="D544" s="188" t="n"/>
      <c r="E544" s="185" t="n"/>
      <c r="F544" s="185" t="n"/>
      <c r="G544" s="94" t="n">
        <v>2</v>
      </c>
      <c r="H544" s="190" t="n"/>
      <c r="I544" s="183">
        <f>+G544*H544</f>
        <v/>
      </c>
      <c r="J544" s="61" t="n"/>
      <c r="K544" s="61" t="n"/>
      <c r="L544" s="61" t="n"/>
      <c r="M544" s="61" t="n"/>
      <c r="N544" s="61" t="n"/>
      <c r="O544" s="61" t="n"/>
      <c r="P544" s="61" t="n"/>
    </row>
    <row r="545" ht="28.8" customHeight="1">
      <c r="B545" s="90" t="n">
        <v>46290</v>
      </c>
      <c r="C545" s="61" t="n">
        <v>271</v>
      </c>
      <c r="D545" s="100" t="inlineStr">
        <is>
          <t>Mekanik firmasının malzeme taşıması sırasında 50 adet terazzo l merdiven süpürgeliği kırılmıştır.</t>
        </is>
      </c>
      <c r="E545" s="61" t="n"/>
      <c r="F545" s="61" t="n"/>
      <c r="G545" s="94" t="n"/>
      <c r="H545" s="190" t="n"/>
      <c r="I545" s="183" t="n"/>
      <c r="J545" s="61" t="inlineStr">
        <is>
          <t>Terazzo L Merdiven Süpürgeliği</t>
        </is>
      </c>
      <c r="K545" s="61" t="inlineStr">
        <is>
          <t>ad</t>
        </is>
      </c>
      <c r="L545" s="61" t="n">
        <v>50</v>
      </c>
      <c r="M545" s="61" t="n"/>
      <c r="N545" s="61" t="n"/>
      <c r="O545" s="61" t="n"/>
      <c r="P545" s="61" t="n"/>
    </row>
    <row r="546" ht="28.8" customHeight="1">
      <c r="B546" s="90" t="n">
        <v>46290</v>
      </c>
      <c r="C546" s="61" t="n">
        <v>272</v>
      </c>
      <c r="D546" s="100" t="inlineStr">
        <is>
          <t>C5 Blok 10.20 kotunda, ıslak hacimlerde alçıpan duvar mekanik firması tarafından sökülmüştür.</t>
        </is>
      </c>
      <c r="E546" s="61" t="inlineStr">
        <is>
          <t>1 Usta
1 Usta Yard.</t>
        </is>
      </c>
      <c r="F546" s="61" t="inlineStr">
        <is>
          <t>yevmiye</t>
        </is>
      </c>
      <c r="G546" s="94" t="n">
        <v>1</v>
      </c>
      <c r="H546" s="190" t="n"/>
      <c r="I546" s="183">
        <f>+G546*H546</f>
        <v/>
      </c>
      <c r="J546" s="61" t="inlineStr">
        <is>
          <t>4 cm Mineral Yün</t>
        </is>
      </c>
      <c r="K546" s="61" t="inlineStr">
        <is>
          <t>m²</t>
        </is>
      </c>
      <c r="L546" s="61" t="n">
        <v>29.4</v>
      </c>
      <c r="M546" s="61" t="n"/>
      <c r="N546" s="61" t="n"/>
      <c r="O546" s="61" t="n"/>
      <c r="P546" s="61" t="n"/>
    </row>
    <row r="547" ht="28.8" customHeight="1">
      <c r="B547" s="188" t="n"/>
      <c r="C547" s="185" t="n"/>
      <c r="D547" s="188" t="n"/>
      <c r="E547" s="185" t="n"/>
      <c r="F547" s="185" t="n"/>
      <c r="G547" s="94" t="n">
        <v>1</v>
      </c>
      <c r="H547" s="190" t="n"/>
      <c r="I547" s="183">
        <f>+G547*H547</f>
        <v/>
      </c>
      <c r="J547" s="61" t="n"/>
      <c r="K547" s="61" t="n"/>
      <c r="L547" s="61" t="n"/>
      <c r="M547" s="61" t="n"/>
      <c r="N547" s="61" t="n"/>
      <c r="O547" s="61" t="n"/>
      <c r="P547" s="61" t="n"/>
    </row>
    <row r="548" ht="28.8" customHeight="1">
      <c r="B548" s="90" t="n">
        <v>46291</v>
      </c>
      <c r="C548" s="61" t="n">
        <v>273</v>
      </c>
      <c r="D548" s="100" t="inlineStr">
        <is>
          <t>C5 Blok 0.20 kotunda, elektrik odalarında bulunan gazbeton topuk imalatları sökülmüş olup, sökülen imalatlar yeniden yapılmıştır.</t>
        </is>
      </c>
      <c r="E548" s="61" t="inlineStr">
        <is>
          <t>1 Usta</t>
        </is>
      </c>
      <c r="F548" s="61" t="inlineStr">
        <is>
          <t>yevmiye</t>
        </is>
      </c>
      <c r="G548" s="94" t="n">
        <v>1</v>
      </c>
      <c r="H548" s="190" t="n"/>
      <c r="I548" s="183">
        <f>+G548*H548</f>
        <v/>
      </c>
      <c r="J548" s="61" t="n"/>
      <c r="K548" s="61" t="n"/>
      <c r="L548" s="61" t="n"/>
      <c r="M548" s="61" t="n"/>
      <c r="N548" s="61" t="n"/>
      <c r="O548" s="61" t="n"/>
      <c r="P548" s="61" t="n"/>
    </row>
    <row r="549" ht="28.8" customHeight="1">
      <c r="B549" s="90" t="n">
        <v>46291</v>
      </c>
      <c r="C549" s="61" t="n">
        <v>274</v>
      </c>
      <c r="D549" s="100" t="inlineStr">
        <is>
          <t>C3 Blok 0.20 kotunda, vatandaşlık koridorunda mock-up için duvarlarda oluşan hasar ve deformasyonların tamiratı yapılmıştır.</t>
        </is>
      </c>
      <c r="E549" s="61" t="inlineStr">
        <is>
          <t>1 Usta</t>
        </is>
      </c>
      <c r="F549" s="61" t="inlineStr">
        <is>
          <t>yevmiye</t>
        </is>
      </c>
      <c r="G549" s="94" t="n">
        <v>1</v>
      </c>
      <c r="H549" s="190" t="n"/>
      <c r="I549" s="183">
        <f>+G549*H549</f>
        <v/>
      </c>
      <c r="J549" s="61" t="n"/>
      <c r="K549" s="61" t="n"/>
      <c r="L549" s="61" t="n"/>
      <c r="M549" s="61" t="n"/>
      <c r="N549" s="61" t="n"/>
      <c r="O549" s="61" t="n"/>
      <c r="P549" s="61" t="n"/>
    </row>
    <row r="550" ht="28.8" customHeight="1">
      <c r="B550" s="90" t="n">
        <v>46291</v>
      </c>
      <c r="C550" s="61" t="n">
        <v>275</v>
      </c>
      <c r="D550" s="100" t="inlineStr">
        <is>
          <t>C5 Blok 20.20 ve 10.20 kotlarında, kata malzeme alımı sırasında asma tavan karkası zarar görmüştür.</t>
        </is>
      </c>
      <c r="E550" s="61" t="inlineStr">
        <is>
          <t>2 Usta
2 Usta Yard.</t>
        </is>
      </c>
      <c r="F550" s="61" t="inlineStr">
        <is>
          <t>yevmiye</t>
        </is>
      </c>
      <c r="G550" s="94" t="n">
        <v>2</v>
      </c>
      <c r="H550" s="190" t="n"/>
      <c r="I550" s="183">
        <f>+G550*H550</f>
        <v/>
      </c>
      <c r="J550" s="61" t="inlineStr">
        <is>
          <t>40*40*2 mm Kutu Profil</t>
        </is>
      </c>
      <c r="K550" s="61" t="inlineStr">
        <is>
          <t>m</t>
        </is>
      </c>
      <c r="L550" s="61" t="n">
        <v>30</v>
      </c>
      <c r="M550" s="61" t="n"/>
      <c r="N550" s="61" t="n"/>
      <c r="O550" s="61" t="n"/>
      <c r="P550" s="61" t="n"/>
    </row>
    <row r="551" ht="28.8" customHeight="1">
      <c r="B551" s="188" t="n"/>
      <c r="C551" s="185" t="n"/>
      <c r="D551" s="188" t="n"/>
      <c r="E551" s="185" t="n"/>
      <c r="F551" s="185" t="n"/>
      <c r="G551" s="94" t="n">
        <v>2</v>
      </c>
      <c r="H551" s="190" t="n"/>
      <c r="I551" s="183">
        <f>+G551*H551</f>
        <v/>
      </c>
      <c r="J551" s="61" t="inlineStr">
        <is>
          <t>40*20*1.5 mm Kutu Profil</t>
        </is>
      </c>
      <c r="K551" s="61" t="inlineStr">
        <is>
          <t>m</t>
        </is>
      </c>
      <c r="L551" s="61" t="n">
        <v>24</v>
      </c>
      <c r="M551" s="61" t="n"/>
      <c r="N551" s="61" t="n"/>
      <c r="O551" s="61" t="n"/>
      <c r="P551" s="61" t="n"/>
    </row>
    <row r="552" ht="28.8" customHeight="1">
      <c r="B552" s="90" t="n">
        <v>46293</v>
      </c>
      <c r="C552" s="61" t="n">
        <v>276</v>
      </c>
      <c r="D552" s="100" t="inlineStr">
        <is>
          <t>C3 Blok 25.20 kotunda, imalatlarımıza engel olan malzemeler uygun alanlara taşınmıştır .</t>
        </is>
      </c>
      <c r="E552" s="61" t="inlineStr">
        <is>
          <t>2 Usta Yard.</t>
        </is>
      </c>
      <c r="F552" s="61" t="inlineStr">
        <is>
          <t>yevmiye</t>
        </is>
      </c>
      <c r="G552" s="94" t="n">
        <v>2</v>
      </c>
      <c r="H552" s="190" t="n"/>
      <c r="I552" s="183">
        <f>+G552*H552</f>
        <v/>
      </c>
      <c r="J552" s="61" t="n"/>
      <c r="K552" s="61" t="n"/>
      <c r="L552" s="61" t="n"/>
      <c r="M552" s="61" t="n"/>
      <c r="N552" s="61" t="n"/>
      <c r="O552" s="61" t="n"/>
      <c r="P552" s="61" t="n"/>
    </row>
    <row r="553" ht="28.8" customHeight="1">
      <c r="B553" s="90" t="n">
        <v>46293</v>
      </c>
      <c r="C553" s="61" t="n">
        <v>277</v>
      </c>
      <c r="D553" s="100" t="inlineStr">
        <is>
          <t>C3 Blok 20.20 kotunda, imalatlarımıza engel olan malzemeler uygun alanlara taşınmıştır .</t>
        </is>
      </c>
      <c r="E553" s="61" t="inlineStr">
        <is>
          <t>1 Usta Yard.</t>
        </is>
      </c>
      <c r="F553" s="61" t="inlineStr">
        <is>
          <t>yevmiye</t>
        </is>
      </c>
      <c r="G553" s="94" t="n">
        <v>1</v>
      </c>
      <c r="H553" s="190" t="n"/>
      <c r="I553" s="183">
        <f>+G553*H553</f>
        <v/>
      </c>
      <c r="J553" s="61" t="n"/>
      <c r="K553" s="61" t="n"/>
      <c r="L553" s="61" t="n"/>
      <c r="M553" s="61" t="n"/>
      <c r="N553" s="61" t="n"/>
      <c r="O553" s="61" t="n"/>
      <c r="P553" s="61" t="n"/>
    </row>
    <row r="554" ht="28.8" customHeight="1">
      <c r="B554" s="90" t="n">
        <v>46297</v>
      </c>
      <c r="C554" s="61" t="n">
        <v>278</v>
      </c>
      <c r="D554" s="100" t="inlineStr">
        <is>
          <t>C3 Blok 20.20 kotunda, mekanik imalatları nedeniyle zarar gören alçıpan asma tavanlar düzeltilmiştir.</t>
        </is>
      </c>
      <c r="E554" s="61" t="inlineStr">
        <is>
          <t>1 Usta
1 Usta Yard.</t>
        </is>
      </c>
      <c r="F554" s="61" t="inlineStr">
        <is>
          <t>yevmiye</t>
        </is>
      </c>
      <c r="G554" s="94" t="n">
        <v>1</v>
      </c>
      <c r="H554" s="190" t="n"/>
      <c r="I554" s="183">
        <f>+G554*H554</f>
        <v/>
      </c>
      <c r="J554" s="61" t="n"/>
      <c r="K554" s="61" t="n"/>
      <c r="L554" s="61" t="n"/>
      <c r="M554" s="61" t="n"/>
      <c r="N554" s="61" t="n"/>
      <c r="O554" s="61" t="n"/>
      <c r="P554" s="61" t="n"/>
    </row>
    <row r="555" ht="28.8" customHeight="1">
      <c r="B555" s="188" t="n"/>
      <c r="C555" s="185" t="n"/>
      <c r="D555" s="188" t="n"/>
      <c r="E555" s="185" t="n"/>
      <c r="F555" s="185" t="n"/>
      <c r="G555" s="94" t="n">
        <v>1</v>
      </c>
      <c r="H555" s="190" t="n"/>
      <c r="I555" s="183">
        <f>+G555*H555</f>
        <v/>
      </c>
      <c r="J555" s="61" t="n"/>
      <c r="K555" s="61" t="n"/>
      <c r="L555" s="61" t="n"/>
      <c r="M555" s="61" t="n"/>
      <c r="N555" s="61" t="n"/>
      <c r="O555" s="61" t="n"/>
      <c r="P555" s="61" t="n"/>
    </row>
    <row r="556" ht="28.8" customHeight="1">
      <c r="B556" s="90" t="n">
        <v>46297</v>
      </c>
      <c r="C556" s="61" t="n">
        <v>279</v>
      </c>
      <c r="D556" s="100" t="inlineStr">
        <is>
          <t>C6 Blok -4.80 kotunda, derz dolgu ve saten alçı tamiratları yapılmıştır.</t>
        </is>
      </c>
      <c r="E556" s="61" t="inlineStr">
        <is>
          <t>4 Usta</t>
        </is>
      </c>
      <c r="F556" s="61" t="inlineStr">
        <is>
          <t>yevmiye</t>
        </is>
      </c>
      <c r="G556" s="94" t="n">
        <v>4</v>
      </c>
      <c r="H556" s="190" t="n"/>
      <c r="I556" s="183">
        <f>+G556*H556</f>
        <v/>
      </c>
      <c r="J556" s="61" t="n"/>
      <c r="K556" s="61" t="n"/>
      <c r="L556" s="61" t="n"/>
      <c r="M556" s="61" t="n"/>
      <c r="N556" s="61" t="n"/>
      <c r="O556" s="61" t="n"/>
      <c r="P556" s="61" t="n"/>
    </row>
    <row r="557" ht="28.8" customHeight="1">
      <c r="B557" s="90" t="n">
        <v>46298</v>
      </c>
      <c r="C557" s="61" t="n">
        <v>280</v>
      </c>
      <c r="D557" s="100" t="inlineStr">
        <is>
          <t>C6 Blok -4.80 kotunda, derz dolgu ve saten alçı tamiratları yapılmıştır.</t>
        </is>
      </c>
      <c r="E557" s="61" t="inlineStr">
        <is>
          <t>4 Usta</t>
        </is>
      </c>
      <c r="F557" s="61" t="inlineStr">
        <is>
          <t>yevmiye</t>
        </is>
      </c>
      <c r="G557" s="94" t="n">
        <v>4</v>
      </c>
      <c r="H557" s="190" t="n"/>
      <c r="I557" s="183">
        <f>+G557*H557</f>
        <v/>
      </c>
      <c r="J557" s="61" t="n"/>
      <c r="K557" s="61" t="n"/>
      <c r="L557" s="61" t="n"/>
      <c r="M557" s="61" t="n"/>
      <c r="N557" s="61" t="n"/>
      <c r="O557" s="61" t="n"/>
      <c r="P557" s="61" t="n"/>
    </row>
    <row r="558" ht="28.8" customHeight="1">
      <c r="B558" s="90" t="n">
        <v>46299</v>
      </c>
      <c r="C558" s="61" t="n">
        <v>281</v>
      </c>
      <c r="D558" s="100" t="inlineStr">
        <is>
          <t>C6 Blok -4.80 kotunda, derz dolgu ve saten alçı tamiratları yapılmıştır.</t>
        </is>
      </c>
      <c r="E558" s="61" t="inlineStr">
        <is>
          <t>4 Usta</t>
        </is>
      </c>
      <c r="F558" s="61" t="inlineStr">
        <is>
          <t>yevmiye</t>
        </is>
      </c>
      <c r="G558" s="94" t="n">
        <v>4</v>
      </c>
      <c r="H558" s="190" t="n"/>
      <c r="I558" s="183">
        <f>+G558*H558</f>
        <v/>
      </c>
      <c r="J558" s="61" t="n"/>
      <c r="K558" s="61" t="n"/>
      <c r="L558" s="61" t="n"/>
      <c r="M558" s="61" t="n"/>
      <c r="N558" s="61" t="n"/>
      <c r="O558" s="61" t="n"/>
      <c r="P558" s="61" t="n"/>
    </row>
    <row r="559" ht="28.8" customHeight="1">
      <c r="B559" s="90" t="n">
        <v>46300</v>
      </c>
      <c r="C559" s="61" t="n">
        <v>282</v>
      </c>
      <c r="D559" s="100" t="inlineStr">
        <is>
          <t>C6 Blok -4.80 kotunda, derz dolgu ve saten alçı tamiratları yapılmıştır.</t>
        </is>
      </c>
      <c r="E559" s="61" t="inlineStr">
        <is>
          <t>4 Usta</t>
        </is>
      </c>
      <c r="F559" s="61" t="inlineStr">
        <is>
          <t>yevmiye</t>
        </is>
      </c>
      <c r="G559" s="94" t="n">
        <v>4</v>
      </c>
      <c r="H559" s="190" t="n"/>
      <c r="I559" s="183">
        <f>+G559*H559</f>
        <v/>
      </c>
      <c r="J559" s="61" t="n"/>
      <c r="K559" s="61" t="n"/>
      <c r="L559" s="61" t="n"/>
      <c r="M559" s="61" t="n"/>
      <c r="N559" s="61" t="n"/>
      <c r="O559" s="61" t="n"/>
      <c r="P559" s="61" t="n"/>
    </row>
    <row r="560" ht="28.8" customHeight="1">
      <c r="B560" s="90" t="n">
        <v>46301</v>
      </c>
      <c r="C560" s="61" t="n">
        <v>283</v>
      </c>
      <c r="D560" s="100" t="inlineStr">
        <is>
          <t>C6 Blok -4.80 kotunda, derz dolgu ve saten alçı tamiratları yapılmıştır.</t>
        </is>
      </c>
      <c r="E560" s="61" t="inlineStr">
        <is>
          <t>4 Usta</t>
        </is>
      </c>
      <c r="F560" s="61" t="inlineStr">
        <is>
          <t>yevmiye</t>
        </is>
      </c>
      <c r="G560" s="94" t="n">
        <v>4</v>
      </c>
      <c r="H560" s="190" t="n"/>
      <c r="I560" s="183">
        <f>+G560*H560</f>
        <v/>
      </c>
      <c r="J560" s="61" t="n"/>
      <c r="K560" s="61" t="n"/>
      <c r="L560" s="61" t="n"/>
      <c r="M560" s="61" t="n"/>
      <c r="N560" s="61" t="n"/>
      <c r="O560" s="61" t="n"/>
      <c r="P560" s="61" t="n"/>
    </row>
    <row r="561" ht="28.8" customHeight="1">
      <c r="B561" s="90" t="n">
        <v>46301</v>
      </c>
      <c r="C561" s="61" t="n">
        <v>284</v>
      </c>
      <c r="D561" s="100" t="inlineStr">
        <is>
          <t>C5 Blok 25.20 kotunda,imalatlara engel olan malzemeler uygun alanlara taşınmıştır.</t>
        </is>
      </c>
      <c r="E561" s="61" t="inlineStr">
        <is>
          <t>2 Usta Yard.</t>
        </is>
      </c>
      <c r="F561" s="61" t="inlineStr">
        <is>
          <t>yevmiye</t>
        </is>
      </c>
      <c r="G561" s="94" t="n">
        <v>2</v>
      </c>
      <c r="H561" s="190" t="n"/>
      <c r="I561" s="183">
        <f>+G561*H561</f>
        <v/>
      </c>
      <c r="J561" s="61" t="n"/>
      <c r="K561" s="61" t="n"/>
      <c r="L561" s="61" t="n"/>
      <c r="M561" s="61" t="n"/>
      <c r="N561" s="61" t="n"/>
      <c r="O561" s="61" t="n"/>
      <c r="P561" s="61" t="n"/>
    </row>
    <row r="562" ht="28.8" customHeight="1">
      <c r="B562" s="90" t="n">
        <v>46301</v>
      </c>
      <c r="C562" s="61" t="n">
        <v>285</v>
      </c>
      <c r="D562" s="100" t="inlineStr">
        <is>
          <t>C5 Blok 20.20 kotunda, mekanik biriminin çalışmaları sırasında alçıpan asma tavana zarar verilmiş olup, oluşan hasarın tamiratı yapılmıştır.</t>
        </is>
      </c>
      <c r="E562" s="61" t="inlineStr">
        <is>
          <t>2 Usta Yard.</t>
        </is>
      </c>
      <c r="F562" s="61" t="inlineStr">
        <is>
          <t>yevmiye</t>
        </is>
      </c>
      <c r="G562" s="94" t="n">
        <v>2</v>
      </c>
      <c r="H562" s="190" t="n"/>
      <c r="I562" s="183">
        <f>+G562*H562</f>
        <v/>
      </c>
      <c r="J562" s="61" t="n"/>
      <c r="K562" s="61" t="n"/>
      <c r="L562" s="61" t="n"/>
      <c r="M562" s="61" t="n"/>
      <c r="N562" s="61" t="n"/>
      <c r="O562" s="61" t="n"/>
      <c r="P562" s="61" t="n"/>
    </row>
  </sheetData>
  <mergeCells count="970">
    <mergeCell ref="C289:C307"/>
    <mergeCell ref="F394:F395"/>
    <mergeCell ref="F198:F199"/>
    <mergeCell ref="B432:B433"/>
    <mergeCell ref="E289:E307"/>
    <mergeCell ref="D21:D22"/>
    <mergeCell ref="B152:B153"/>
    <mergeCell ref="B238:B239"/>
    <mergeCell ref="C541:C542"/>
    <mergeCell ref="E470:E471"/>
    <mergeCell ref="E541:E542"/>
    <mergeCell ref="C335:C336"/>
    <mergeCell ref="B23:B24"/>
    <mergeCell ref="E388:E389"/>
    <mergeCell ref="B514:B515"/>
    <mergeCell ref="E65:E66"/>
    <mergeCell ref="D514:D515"/>
    <mergeCell ref="B240:B241"/>
    <mergeCell ref="D489:D490"/>
    <mergeCell ref="F489:F490"/>
    <mergeCell ref="D554:D555"/>
    <mergeCell ref="F554:F555"/>
    <mergeCell ref="C213:C214"/>
    <mergeCell ref="F13:F14"/>
    <mergeCell ref="C188:C189"/>
    <mergeCell ref="E457:E458"/>
    <mergeCell ref="D347:D348"/>
    <mergeCell ref="C424:C425"/>
    <mergeCell ref="F347:F348"/>
    <mergeCell ref="G60:G61"/>
    <mergeCell ref="E154:E155"/>
    <mergeCell ref="F186:F187"/>
    <mergeCell ref="D362:D363"/>
    <mergeCell ref="C190:C191"/>
    <mergeCell ref="F362:F363"/>
    <mergeCell ref="E390:E391"/>
    <mergeCell ref="E394:E395"/>
    <mergeCell ref="F349:F350"/>
    <mergeCell ref="E377:E378"/>
    <mergeCell ref="E25:E26"/>
    <mergeCell ref="K9:K10"/>
    <mergeCell ref="D364:D365"/>
    <mergeCell ref="C419:C420"/>
    <mergeCell ref="B209:B210"/>
    <mergeCell ref="B184:B185"/>
    <mergeCell ref="E419:E420"/>
    <mergeCell ref="B445:B446"/>
    <mergeCell ref="E406:E407"/>
    <mergeCell ref="J23:J24"/>
    <mergeCell ref="B97:B98"/>
    <mergeCell ref="C554:C555"/>
    <mergeCell ref="B140:B141"/>
    <mergeCell ref="D140:D141"/>
    <mergeCell ref="D438:D439"/>
    <mergeCell ref="B90:B91"/>
    <mergeCell ref="E13:E14"/>
    <mergeCell ref="F438:F439"/>
    <mergeCell ref="B17:B18"/>
    <mergeCell ref="E78:E79"/>
    <mergeCell ref="B11:B12"/>
    <mergeCell ref="D17:D18"/>
    <mergeCell ref="F146:F147"/>
    <mergeCell ref="D11:D12"/>
    <mergeCell ref="D217:D218"/>
    <mergeCell ref="C343:C344"/>
    <mergeCell ref="D375:D376"/>
    <mergeCell ref="B148:B149"/>
    <mergeCell ref="F375:F376"/>
    <mergeCell ref="B440:B441"/>
    <mergeCell ref="D440:D441"/>
    <mergeCell ref="F217:F218"/>
    <mergeCell ref="D154:D155"/>
    <mergeCell ref="C109:C110"/>
    <mergeCell ref="B377:B378"/>
    <mergeCell ref="C345:C346"/>
    <mergeCell ref="D377:D378"/>
    <mergeCell ref="C201:C202"/>
    <mergeCell ref="D504:D505"/>
    <mergeCell ref="E201:E202"/>
    <mergeCell ref="F504:F505"/>
    <mergeCell ref="C46:C47"/>
    <mergeCell ref="E46:E47"/>
    <mergeCell ref="B44:B45"/>
    <mergeCell ref="C76:C77"/>
    <mergeCell ref="B408:B409"/>
    <mergeCell ref="C203:C204"/>
    <mergeCell ref="D506:D507"/>
    <mergeCell ref="C533:C536"/>
    <mergeCell ref="C51:C52"/>
    <mergeCell ref="F31:F34"/>
    <mergeCell ref="E396:E397"/>
    <mergeCell ref="B174:B175"/>
    <mergeCell ref="C140:C141"/>
    <mergeCell ref="B472:B473"/>
    <mergeCell ref="C438:C439"/>
    <mergeCell ref="E196:E197"/>
    <mergeCell ref="B410:B411"/>
    <mergeCell ref="B466:B467"/>
    <mergeCell ref="D466:D467"/>
    <mergeCell ref="B331:B332"/>
    <mergeCell ref="B502:B503"/>
    <mergeCell ref="E106:E107"/>
    <mergeCell ref="B343:B344"/>
    <mergeCell ref="E404:E405"/>
    <mergeCell ref="B289:B307"/>
    <mergeCell ref="B474:B475"/>
    <mergeCell ref="E198:E199"/>
    <mergeCell ref="D289:D307"/>
    <mergeCell ref="E415:E416"/>
    <mergeCell ref="B541:B542"/>
    <mergeCell ref="D541:D542"/>
    <mergeCell ref="D90:D91"/>
    <mergeCell ref="C496:C497"/>
    <mergeCell ref="D388:D389"/>
    <mergeCell ref="F388:F389"/>
    <mergeCell ref="D65:D66"/>
    <mergeCell ref="C514:C515"/>
    <mergeCell ref="F65:F66"/>
    <mergeCell ref="E343:E344"/>
    <mergeCell ref="E514:E515"/>
    <mergeCell ref="C489:C490"/>
    <mergeCell ref="E489:E490"/>
    <mergeCell ref="F154:F155"/>
    <mergeCell ref="D80:D81"/>
    <mergeCell ref="D390:D391"/>
    <mergeCell ref="E554:E555"/>
    <mergeCell ref="F390:F391"/>
    <mergeCell ref="H31:H32"/>
    <mergeCell ref="E99:E100"/>
    <mergeCell ref="E15:E16"/>
    <mergeCell ref="E186:E187"/>
    <mergeCell ref="F494:F495"/>
    <mergeCell ref="C36:C37"/>
    <mergeCell ref="B510:B511"/>
    <mergeCell ref="D510:D511"/>
    <mergeCell ref="B162:B163"/>
    <mergeCell ref="F519:F522"/>
    <mergeCell ref="D162:D163"/>
    <mergeCell ref="B398:B399"/>
    <mergeCell ref="D156:D157"/>
    <mergeCell ref="L9:L10"/>
    <mergeCell ref="F156:F157"/>
    <mergeCell ref="B496:B497"/>
    <mergeCell ref="E386:E387"/>
    <mergeCell ref="B525:B526"/>
    <mergeCell ref="D525:D526"/>
    <mergeCell ref="C209:C210"/>
    <mergeCell ref="D512:D513"/>
    <mergeCell ref="B164:B165"/>
    <mergeCell ref="D343:D344"/>
    <mergeCell ref="D164:D165"/>
    <mergeCell ref="B462:B463"/>
    <mergeCell ref="F506:F507"/>
    <mergeCell ref="D462:D463"/>
    <mergeCell ref="F49:F50"/>
    <mergeCell ref="L11:L12"/>
    <mergeCell ref="D207:D208"/>
    <mergeCell ref="C224:C225"/>
    <mergeCell ref="B383:B384"/>
    <mergeCell ref="F207:F208"/>
    <mergeCell ref="D383:D384"/>
    <mergeCell ref="B554:B555"/>
    <mergeCell ref="C217:C218"/>
    <mergeCell ref="F78:F79"/>
    <mergeCell ref="E217:E218"/>
    <mergeCell ref="C375:C376"/>
    <mergeCell ref="F436:F437"/>
    <mergeCell ref="C440:C441"/>
    <mergeCell ref="E440:E441"/>
    <mergeCell ref="C154:C155"/>
    <mergeCell ref="F15:F16"/>
    <mergeCell ref="F482:F483"/>
    <mergeCell ref="E347:E348"/>
    <mergeCell ref="F142:F143"/>
    <mergeCell ref="B109:B110"/>
    <mergeCell ref="F80:F81"/>
    <mergeCell ref="D109:D110"/>
    <mergeCell ref="B180:B181"/>
    <mergeCell ref="E341:E342"/>
    <mergeCell ref="B345:B346"/>
    <mergeCell ref="B351:B352"/>
    <mergeCell ref="D345:D346"/>
    <mergeCell ref="C377:C378"/>
    <mergeCell ref="E412:E413"/>
    <mergeCell ref="C504:C505"/>
    <mergeCell ref="E504:E505"/>
    <mergeCell ref="C156:C157"/>
    <mergeCell ref="B46:B47"/>
    <mergeCell ref="C349:C350"/>
    <mergeCell ref="E156:E157"/>
    <mergeCell ref="D46:D47"/>
    <mergeCell ref="B182:B183"/>
    <mergeCell ref="B353:B354"/>
    <mergeCell ref="B533:B536"/>
    <mergeCell ref="C506:C507"/>
    <mergeCell ref="B396:B397"/>
    <mergeCell ref="E506:E507"/>
    <mergeCell ref="D396:D397"/>
    <mergeCell ref="C207:C208"/>
    <mergeCell ref="D460:D461"/>
    <mergeCell ref="D398:D399"/>
    <mergeCell ref="F460:F461"/>
    <mergeCell ref="C537:C538"/>
    <mergeCell ref="B246:B265"/>
    <mergeCell ref="B373:B374"/>
    <mergeCell ref="D106:D107"/>
    <mergeCell ref="D373:D374"/>
    <mergeCell ref="C67:C68"/>
    <mergeCell ref="F106:F107"/>
    <mergeCell ref="F373:F374"/>
    <mergeCell ref="F404:F405"/>
    <mergeCell ref="K23:K24"/>
    <mergeCell ref="D152:D153"/>
    <mergeCell ref="C308:C329"/>
    <mergeCell ref="C430:C431"/>
    <mergeCell ref="E36:E37"/>
    <mergeCell ref="C72:C73"/>
    <mergeCell ref="F366:F367"/>
    <mergeCell ref="F468:F469"/>
    <mergeCell ref="B487:B488"/>
    <mergeCell ref="D487:D488"/>
    <mergeCell ref="D226:D227"/>
    <mergeCell ref="J17:J18"/>
    <mergeCell ref="C434:C435"/>
    <mergeCell ref="E434:E435"/>
    <mergeCell ref="L17:L18"/>
    <mergeCell ref="B498:B499"/>
    <mergeCell ref="C390:C391"/>
    <mergeCell ref="B41:B42"/>
    <mergeCell ref="G31:G32"/>
    <mergeCell ref="E400:E401"/>
    <mergeCell ref="D228:D229"/>
    <mergeCell ref="J19:J20"/>
    <mergeCell ref="C436:C437"/>
    <mergeCell ref="E194:E195"/>
    <mergeCell ref="E436:E437"/>
    <mergeCell ref="L19:L20"/>
    <mergeCell ref="E39:E40"/>
    <mergeCell ref="E337:E338"/>
    <mergeCell ref="B341:B342"/>
    <mergeCell ref="D99:D100"/>
    <mergeCell ref="E402:E403"/>
    <mergeCell ref="B86:B87"/>
    <mergeCell ref="F99:F100"/>
    <mergeCell ref="F221:F222"/>
    <mergeCell ref="D528:D529"/>
    <mergeCell ref="F457:F458"/>
    <mergeCell ref="E494:E495"/>
    <mergeCell ref="F528:F529"/>
    <mergeCell ref="F266:F288"/>
    <mergeCell ref="D36:D37"/>
    <mergeCell ref="C510:C511"/>
    <mergeCell ref="B101:B102"/>
    <mergeCell ref="E510:E511"/>
    <mergeCell ref="D101:D102"/>
    <mergeCell ref="F101:F102"/>
    <mergeCell ref="D150:D151"/>
    <mergeCell ref="F150:F151"/>
    <mergeCell ref="E349:E350"/>
    <mergeCell ref="F144:F145"/>
    <mergeCell ref="D386:D387"/>
    <mergeCell ref="C347:C348"/>
    <mergeCell ref="F386:F387"/>
    <mergeCell ref="C525:C526"/>
    <mergeCell ref="C512:C513"/>
    <mergeCell ref="C226:C227"/>
    <mergeCell ref="C164:C165"/>
    <mergeCell ref="E49:E50"/>
    <mergeCell ref="C31:C34"/>
    <mergeCell ref="F523:F524"/>
    <mergeCell ref="B417:B418"/>
    <mergeCell ref="E207:E208"/>
    <mergeCell ref="B211:B212"/>
    <mergeCell ref="C228:C229"/>
    <mergeCell ref="D531:D532"/>
    <mergeCell ref="F381:F382"/>
    <mergeCell ref="B419:B420"/>
    <mergeCell ref="B406:B407"/>
    <mergeCell ref="F226:F227"/>
    <mergeCell ref="C86:C87"/>
    <mergeCell ref="D412:D413"/>
    <mergeCell ref="C449:C450"/>
    <mergeCell ref="F412:F413"/>
    <mergeCell ref="I31:I32"/>
    <mergeCell ref="D539:D540"/>
    <mergeCell ref="F539:F540"/>
    <mergeCell ref="D178:D179"/>
    <mergeCell ref="F7:F8"/>
    <mergeCell ref="F63:F64"/>
    <mergeCell ref="F178:F179"/>
    <mergeCell ref="D476:D477"/>
    <mergeCell ref="F476:F477"/>
    <mergeCell ref="B512:B513"/>
    <mergeCell ref="C480:C481"/>
    <mergeCell ref="C396:C397"/>
    <mergeCell ref="D49:D50"/>
    <mergeCell ref="D478:D479"/>
    <mergeCell ref="F236:F237"/>
    <mergeCell ref="F36:F37"/>
    <mergeCell ref="C368:C369"/>
    <mergeCell ref="E368:E369"/>
    <mergeCell ref="C162:C163"/>
    <mergeCell ref="E362:E363"/>
    <mergeCell ref="C460:C461"/>
    <mergeCell ref="C531:C532"/>
    <mergeCell ref="E460:E461"/>
    <mergeCell ref="C398:C399"/>
    <mergeCell ref="F5:F6"/>
    <mergeCell ref="B537:B538"/>
    <mergeCell ref="E525:E526"/>
    <mergeCell ref="E408:E409"/>
    <mergeCell ref="C373:C374"/>
    <mergeCell ref="B67:B68"/>
    <mergeCell ref="E373:E374"/>
    <mergeCell ref="C364:C365"/>
    <mergeCell ref="E426:E427"/>
    <mergeCell ref="E226:E227"/>
    <mergeCell ref="C152:C153"/>
    <mergeCell ref="B308:B329"/>
    <mergeCell ref="E364:E365"/>
    <mergeCell ref="E103:E104"/>
    <mergeCell ref="D308:D329"/>
    <mergeCell ref="B430:B431"/>
    <mergeCell ref="E31:E34"/>
    <mergeCell ref="D430:D431"/>
    <mergeCell ref="E339:E340"/>
    <mergeCell ref="C462:C463"/>
    <mergeCell ref="E462:E463"/>
    <mergeCell ref="B392:B393"/>
    <mergeCell ref="B196:B197"/>
    <mergeCell ref="D392:D393"/>
    <mergeCell ref="D196:D197"/>
    <mergeCell ref="E428:E429"/>
    <mergeCell ref="K17:K18"/>
    <mergeCell ref="B198:B199"/>
    <mergeCell ref="F333:F334"/>
    <mergeCell ref="C17:C18"/>
    <mergeCell ref="F152:F153"/>
    <mergeCell ref="B394:B395"/>
    <mergeCell ref="D394:D395"/>
    <mergeCell ref="F400:F401"/>
    <mergeCell ref="E228:E229"/>
    <mergeCell ref="K19:K20"/>
    <mergeCell ref="C19:C20"/>
    <mergeCell ref="B158:B159"/>
    <mergeCell ref="D39:D40"/>
    <mergeCell ref="F514:F515"/>
    <mergeCell ref="E146:E147"/>
    <mergeCell ref="F402:F403"/>
    <mergeCell ref="C528:C529"/>
    <mergeCell ref="F451:F452"/>
    <mergeCell ref="B489:B490"/>
    <mergeCell ref="B160:B161"/>
    <mergeCell ref="E528:E529"/>
    <mergeCell ref="E266:E288"/>
    <mergeCell ref="F339:F340"/>
    <mergeCell ref="C101:C102"/>
    <mergeCell ref="F466:F467"/>
    <mergeCell ref="B233:B234"/>
    <mergeCell ref="C221:C222"/>
    <mergeCell ref="E150:E151"/>
    <mergeCell ref="C392:C393"/>
    <mergeCell ref="B224:B225"/>
    <mergeCell ref="C386:C387"/>
    <mergeCell ref="F453:F454"/>
    <mergeCell ref="B347:B348"/>
    <mergeCell ref="C457:C458"/>
    <mergeCell ref="D341:D342"/>
    <mergeCell ref="E60:E61"/>
    <mergeCell ref="E358:E359"/>
    <mergeCell ref="D186:D187"/>
    <mergeCell ref="E152:E153"/>
    <mergeCell ref="D242:D243"/>
    <mergeCell ref="B362:B363"/>
    <mergeCell ref="F242:F243"/>
    <mergeCell ref="C417:C418"/>
    <mergeCell ref="F478:F479"/>
    <mergeCell ref="F21:F22"/>
    <mergeCell ref="B228:B229"/>
    <mergeCell ref="K11:K12"/>
    <mergeCell ref="D244:D245"/>
    <mergeCell ref="F184:F185"/>
    <mergeCell ref="D415:D416"/>
    <mergeCell ref="F244:F245"/>
    <mergeCell ref="F415:F416"/>
    <mergeCell ref="F23:F24"/>
    <mergeCell ref="C70:C71"/>
    <mergeCell ref="B9:B10"/>
    <mergeCell ref="C412:C413"/>
    <mergeCell ref="E70:E71"/>
    <mergeCell ref="E539:E540"/>
    <mergeCell ref="B438:B439"/>
    <mergeCell ref="C470:C471"/>
    <mergeCell ref="E80:E81"/>
    <mergeCell ref="C7:C8"/>
    <mergeCell ref="B146:B147"/>
    <mergeCell ref="C78:C79"/>
    <mergeCell ref="E7:E8"/>
    <mergeCell ref="F39:F40"/>
    <mergeCell ref="C178:C179"/>
    <mergeCell ref="E178:E179"/>
    <mergeCell ref="B217:B218"/>
    <mergeCell ref="F337:F338"/>
    <mergeCell ref="B375:B376"/>
    <mergeCell ref="E476:E477"/>
    <mergeCell ref="F543:F544"/>
    <mergeCell ref="B546:B547"/>
    <mergeCell ref="E144:E145"/>
    <mergeCell ref="E242:E243"/>
    <mergeCell ref="B368:B369"/>
    <mergeCell ref="E478:E479"/>
    <mergeCell ref="D368:D369"/>
    <mergeCell ref="B504:B505"/>
    <mergeCell ref="B531:B532"/>
    <mergeCell ref="D408:D409"/>
    <mergeCell ref="B72:B73"/>
    <mergeCell ref="E244:E245"/>
    <mergeCell ref="E219:E220"/>
    <mergeCell ref="F426:F427"/>
    <mergeCell ref="B31:B34"/>
    <mergeCell ref="B2:P2"/>
    <mergeCell ref="D174:D175"/>
    <mergeCell ref="D31:D34"/>
    <mergeCell ref="F103:F104"/>
    <mergeCell ref="F174:F175"/>
    <mergeCell ref="F364:F365"/>
    <mergeCell ref="B70:B71"/>
    <mergeCell ref="F205:F206"/>
    <mergeCell ref="D410:D411"/>
    <mergeCell ref="D70:D71"/>
    <mergeCell ref="F410:F411"/>
    <mergeCell ref="D434:D435"/>
    <mergeCell ref="F70:F71"/>
    <mergeCell ref="F192:F193"/>
    <mergeCell ref="D428:D429"/>
    <mergeCell ref="C196:C197"/>
    <mergeCell ref="F472:F473"/>
    <mergeCell ref="F428:F429"/>
    <mergeCell ref="D238:D239"/>
    <mergeCell ref="C383:C384"/>
    <mergeCell ref="F238:F239"/>
    <mergeCell ref="E383:E384"/>
    <mergeCell ref="D474:D475"/>
    <mergeCell ref="F474:F475"/>
    <mergeCell ref="D194:D195"/>
    <mergeCell ref="C333:C334"/>
    <mergeCell ref="C404:C405"/>
    <mergeCell ref="F194:F195"/>
    <mergeCell ref="E333:E334"/>
    <mergeCell ref="F57:F59"/>
    <mergeCell ref="C198:C199"/>
    <mergeCell ref="C394:C395"/>
    <mergeCell ref="F492:F493"/>
    <mergeCell ref="E447:E448"/>
    <mergeCell ref="C99:C100"/>
    <mergeCell ref="E366:E367"/>
    <mergeCell ref="E422:E423"/>
    <mergeCell ref="E360:E361"/>
    <mergeCell ref="B19:B20"/>
    <mergeCell ref="B388:B389"/>
    <mergeCell ref="D146:D147"/>
    <mergeCell ref="C408:C409"/>
    <mergeCell ref="B65:B66"/>
    <mergeCell ref="B154:B155"/>
    <mergeCell ref="D266:D288"/>
    <mergeCell ref="F550:F551"/>
    <mergeCell ref="B390:B391"/>
    <mergeCell ref="C13:C14"/>
    <mergeCell ref="B221:B222"/>
    <mergeCell ref="D246:D265"/>
    <mergeCell ref="E453:E454"/>
    <mergeCell ref="F246:F265"/>
    <mergeCell ref="F408:F409"/>
    <mergeCell ref="D60:D61"/>
    <mergeCell ref="F60:F61"/>
    <mergeCell ref="D358:D359"/>
    <mergeCell ref="C15:C16"/>
    <mergeCell ref="C186:C187"/>
    <mergeCell ref="F358:F359"/>
    <mergeCell ref="F485:F486"/>
    <mergeCell ref="F53:F54"/>
    <mergeCell ref="D360:D361"/>
    <mergeCell ref="C184:C185"/>
    <mergeCell ref="B156:B157"/>
    <mergeCell ref="F360:F361"/>
    <mergeCell ref="J9:J10"/>
    <mergeCell ref="C426:C427"/>
    <mergeCell ref="F487:F488"/>
    <mergeCell ref="C146:C147"/>
    <mergeCell ref="E371:E372"/>
    <mergeCell ref="E442:E443"/>
    <mergeCell ref="E23:E24"/>
    <mergeCell ref="F55:F56"/>
    <mergeCell ref="C379:C380"/>
    <mergeCell ref="J11:J12"/>
    <mergeCell ref="C550:C551"/>
    <mergeCell ref="E379:E380"/>
    <mergeCell ref="E550:E551"/>
    <mergeCell ref="F434:F435"/>
    <mergeCell ref="B470:B471"/>
    <mergeCell ref="B13:B14"/>
    <mergeCell ref="E74:E75"/>
    <mergeCell ref="D13:D14"/>
    <mergeCell ref="D213:D214"/>
    <mergeCell ref="C41:C42"/>
    <mergeCell ref="D7:D8"/>
    <mergeCell ref="B78:B79"/>
    <mergeCell ref="D78:D79"/>
    <mergeCell ref="D449:D450"/>
    <mergeCell ref="B436:B437"/>
    <mergeCell ref="D436:D437"/>
    <mergeCell ref="B15:B16"/>
    <mergeCell ref="B186:B187"/>
    <mergeCell ref="E76:E77"/>
    <mergeCell ref="D15:D16"/>
    <mergeCell ref="B142:B143"/>
    <mergeCell ref="B80:B81"/>
    <mergeCell ref="D215:D216"/>
    <mergeCell ref="F215:F216"/>
    <mergeCell ref="C341:C342"/>
    <mergeCell ref="D500:D501"/>
    <mergeCell ref="E468:E469"/>
    <mergeCell ref="F500:F501"/>
    <mergeCell ref="E101:E102"/>
    <mergeCell ref="F371:F372"/>
    <mergeCell ref="D502:D503"/>
    <mergeCell ref="F502:F503"/>
    <mergeCell ref="E392:E393"/>
    <mergeCell ref="C174:C175"/>
    <mergeCell ref="E174:E175"/>
    <mergeCell ref="C410:C411"/>
    <mergeCell ref="E472:E473"/>
    <mergeCell ref="E410:E411"/>
    <mergeCell ref="E21:E22"/>
    <mergeCell ref="E192:E193"/>
    <mergeCell ref="B25:B26"/>
    <mergeCell ref="B460:B461"/>
    <mergeCell ref="E238:E239"/>
    <mergeCell ref="F335:F336"/>
    <mergeCell ref="B106:B107"/>
    <mergeCell ref="E474:E475"/>
    <mergeCell ref="B404:B405"/>
    <mergeCell ref="D333:D334"/>
    <mergeCell ref="D404:D405"/>
    <mergeCell ref="D447:D448"/>
    <mergeCell ref="E240:E241"/>
    <mergeCell ref="F447:F448"/>
    <mergeCell ref="B366:B367"/>
    <mergeCell ref="D366:D367"/>
    <mergeCell ref="B468:B469"/>
    <mergeCell ref="F422:F423"/>
    <mergeCell ref="B455:B456"/>
    <mergeCell ref="D455:D456"/>
    <mergeCell ref="F213:F214"/>
    <mergeCell ref="F449:F450"/>
    <mergeCell ref="C65:C66"/>
    <mergeCell ref="F188:F189"/>
    <mergeCell ref="F424:F425"/>
    <mergeCell ref="D533:D536"/>
    <mergeCell ref="F533:F536"/>
    <mergeCell ref="F203:F204"/>
    <mergeCell ref="B480:B481"/>
    <mergeCell ref="C400:C401"/>
    <mergeCell ref="F190:F191"/>
    <mergeCell ref="E246:E265"/>
    <mergeCell ref="E381:E382"/>
    <mergeCell ref="C60:C61"/>
    <mergeCell ref="C331:C332"/>
    <mergeCell ref="E331:E332"/>
    <mergeCell ref="D221:D222"/>
    <mergeCell ref="D25:D26"/>
    <mergeCell ref="B457:B458"/>
    <mergeCell ref="E485:E486"/>
    <mergeCell ref="D142:D143"/>
    <mergeCell ref="E97:E98"/>
    <mergeCell ref="C519:C522"/>
    <mergeCell ref="C360:C361"/>
    <mergeCell ref="E519:E522"/>
    <mergeCell ref="B150:B151"/>
    <mergeCell ref="E487:E488"/>
    <mergeCell ref="B386:B387"/>
    <mergeCell ref="D144:D145"/>
    <mergeCell ref="B442:B443"/>
    <mergeCell ref="D442:D443"/>
    <mergeCell ref="F442:F443"/>
    <mergeCell ref="D23:D24"/>
    <mergeCell ref="E188:E189"/>
    <mergeCell ref="E424:E425"/>
    <mergeCell ref="L7:L8"/>
    <mergeCell ref="C49:C50"/>
    <mergeCell ref="F343:F344"/>
    <mergeCell ref="D523:D524"/>
    <mergeCell ref="D379:D380"/>
    <mergeCell ref="D550:D551"/>
    <mergeCell ref="F379:F380"/>
    <mergeCell ref="D158:D159"/>
    <mergeCell ref="F74:F75"/>
    <mergeCell ref="B381:B382"/>
    <mergeCell ref="F541:F542"/>
    <mergeCell ref="F201:F202"/>
    <mergeCell ref="D381:D382"/>
    <mergeCell ref="C447:C448"/>
    <mergeCell ref="C44:C45"/>
    <mergeCell ref="D76:D77"/>
    <mergeCell ref="C215:C216"/>
    <mergeCell ref="E44:E45"/>
    <mergeCell ref="F76:F77"/>
    <mergeCell ref="C142:C143"/>
    <mergeCell ref="C80:C81"/>
    <mergeCell ref="E215:E216"/>
    <mergeCell ref="B412:B413"/>
    <mergeCell ref="E482:E483"/>
    <mergeCell ref="F51:F52"/>
    <mergeCell ref="D468:D469"/>
    <mergeCell ref="E500:E501"/>
    <mergeCell ref="B539:B540"/>
    <mergeCell ref="B333:B334"/>
    <mergeCell ref="C546:C547"/>
    <mergeCell ref="F140:F141"/>
    <mergeCell ref="E546:E547"/>
    <mergeCell ref="B178:B179"/>
    <mergeCell ref="C144:C145"/>
    <mergeCell ref="B349:B350"/>
    <mergeCell ref="B476:B477"/>
    <mergeCell ref="C442:C443"/>
    <mergeCell ref="C502:C503"/>
    <mergeCell ref="E502:E503"/>
    <mergeCell ref="B506:B507"/>
    <mergeCell ref="D457:D458"/>
    <mergeCell ref="B49:B50"/>
    <mergeCell ref="B36:B37"/>
    <mergeCell ref="B207:B208"/>
    <mergeCell ref="D236:D237"/>
    <mergeCell ref="D432:D433"/>
    <mergeCell ref="F432:F433"/>
    <mergeCell ref="D472:D473"/>
    <mergeCell ref="C362:C363"/>
    <mergeCell ref="E72:E73"/>
    <mergeCell ref="D211:D212"/>
    <mergeCell ref="C39:C40"/>
    <mergeCell ref="D496:D497"/>
    <mergeCell ref="C106:C107"/>
    <mergeCell ref="F496:F497"/>
    <mergeCell ref="E184:E185"/>
    <mergeCell ref="B482:B483"/>
    <mergeCell ref="H33:H34"/>
    <mergeCell ref="D240:D241"/>
    <mergeCell ref="C339:C340"/>
    <mergeCell ref="C366:C367"/>
    <mergeCell ref="D498:D499"/>
    <mergeCell ref="C468:C469"/>
    <mergeCell ref="F498:F499"/>
    <mergeCell ref="C455:C456"/>
    <mergeCell ref="E213:E214"/>
    <mergeCell ref="E455:E456"/>
    <mergeCell ref="E449:E450"/>
    <mergeCell ref="J13:J14"/>
    <mergeCell ref="E17:E18"/>
    <mergeCell ref="L13:L14"/>
    <mergeCell ref="C57:C59"/>
    <mergeCell ref="E57:E59"/>
    <mergeCell ref="E533:E536"/>
    <mergeCell ref="B400:B401"/>
    <mergeCell ref="J15:J16"/>
    <mergeCell ref="E19:E20"/>
    <mergeCell ref="E190:E191"/>
    <mergeCell ref="L15:L16"/>
    <mergeCell ref="F158:F159"/>
    <mergeCell ref="C432:C433"/>
    <mergeCell ref="E432:E433"/>
    <mergeCell ref="B39:B40"/>
    <mergeCell ref="E398:E399"/>
    <mergeCell ref="B464:B465"/>
    <mergeCell ref="B402:B403"/>
    <mergeCell ref="D160:D161"/>
    <mergeCell ref="D464:D465"/>
    <mergeCell ref="C25:C26"/>
    <mergeCell ref="F160:F161"/>
    <mergeCell ref="D209:D210"/>
    <mergeCell ref="D184:D185"/>
    <mergeCell ref="D402:D403"/>
    <mergeCell ref="F209:F210"/>
    <mergeCell ref="B451:B452"/>
    <mergeCell ref="D445:D446"/>
    <mergeCell ref="D451:D452"/>
    <mergeCell ref="C266:C288"/>
    <mergeCell ref="L23:L24"/>
    <mergeCell ref="B339:B340"/>
    <mergeCell ref="D97:D98"/>
    <mergeCell ref="F308:F329"/>
    <mergeCell ref="F445:F446"/>
    <mergeCell ref="F97:F98"/>
    <mergeCell ref="F219:F220"/>
    <mergeCell ref="D224:D225"/>
    <mergeCell ref="F224:F225"/>
    <mergeCell ref="B519:B522"/>
    <mergeCell ref="B453:B454"/>
    <mergeCell ref="D519:D522"/>
    <mergeCell ref="C150:C151"/>
    <mergeCell ref="F211:F212"/>
    <mergeCell ref="C337:C338"/>
    <mergeCell ref="F90:F91"/>
    <mergeCell ref="K13:K14"/>
    <mergeCell ref="D148:D149"/>
    <mergeCell ref="K7:K8"/>
    <mergeCell ref="F148:F149"/>
    <mergeCell ref="C523:C524"/>
    <mergeCell ref="F440:F441"/>
    <mergeCell ref="B478:B479"/>
    <mergeCell ref="C53:C54"/>
    <mergeCell ref="D19:D20"/>
    <mergeCell ref="C158:C159"/>
    <mergeCell ref="E53:E54"/>
    <mergeCell ref="F19:F20"/>
    <mergeCell ref="E109:E110"/>
    <mergeCell ref="C351:C352"/>
    <mergeCell ref="E351:E352"/>
    <mergeCell ref="E345:E346"/>
    <mergeCell ref="F377:F378"/>
    <mergeCell ref="B415:B416"/>
    <mergeCell ref="C381:C382"/>
    <mergeCell ref="C160:C161"/>
    <mergeCell ref="E160:E161"/>
    <mergeCell ref="D44:D45"/>
    <mergeCell ref="E209:E210"/>
    <mergeCell ref="C445:C446"/>
    <mergeCell ref="F44:F45"/>
    <mergeCell ref="E203:E204"/>
    <mergeCell ref="E445:E446"/>
    <mergeCell ref="D400:D401"/>
    <mergeCell ref="C539:C540"/>
    <mergeCell ref="E140:E141"/>
    <mergeCell ref="D546:D547"/>
    <mergeCell ref="B337:B338"/>
    <mergeCell ref="C63:C64"/>
    <mergeCell ref="D537:D538"/>
    <mergeCell ref="D337:D338"/>
    <mergeCell ref="E63:E64"/>
    <mergeCell ref="C476:C477"/>
    <mergeCell ref="D331:D332"/>
    <mergeCell ref="F537:F538"/>
    <mergeCell ref="F331:F332"/>
    <mergeCell ref="E221:E222"/>
    <mergeCell ref="F464:F465"/>
    <mergeCell ref="F368:F369"/>
    <mergeCell ref="C242:C243"/>
    <mergeCell ref="F289:F307"/>
    <mergeCell ref="C236:C237"/>
    <mergeCell ref="C478:C479"/>
    <mergeCell ref="E236:E237"/>
    <mergeCell ref="D72:D73"/>
    <mergeCell ref="C211:C212"/>
    <mergeCell ref="F72:F73"/>
    <mergeCell ref="E496:E497"/>
    <mergeCell ref="B426:B427"/>
    <mergeCell ref="B226:B227"/>
    <mergeCell ref="B364:B365"/>
    <mergeCell ref="D426:D427"/>
    <mergeCell ref="B103:B104"/>
    <mergeCell ref="G33:G34"/>
    <mergeCell ref="E335:E336"/>
    <mergeCell ref="D103:D104"/>
    <mergeCell ref="B205:B206"/>
    <mergeCell ref="E523:E524"/>
    <mergeCell ref="C498:C499"/>
    <mergeCell ref="B192:B193"/>
    <mergeCell ref="E498:E499"/>
    <mergeCell ref="D192:D193"/>
    <mergeCell ref="E41:E42"/>
    <mergeCell ref="B428:B429"/>
    <mergeCell ref="D453:D454"/>
    <mergeCell ref="B63:B64"/>
    <mergeCell ref="D63:D64"/>
    <mergeCell ref="B194:B195"/>
    <mergeCell ref="B57:B59"/>
    <mergeCell ref="C358:C359"/>
    <mergeCell ref="B492:B493"/>
    <mergeCell ref="D57:D59"/>
    <mergeCell ref="D492:D493"/>
    <mergeCell ref="B236:B237"/>
    <mergeCell ref="K15:K16"/>
    <mergeCell ref="F510:F511"/>
    <mergeCell ref="E142:E143"/>
    <mergeCell ref="F162:F163"/>
    <mergeCell ref="F398:F399"/>
    <mergeCell ref="C464:C465"/>
    <mergeCell ref="E55:E56"/>
    <mergeCell ref="C353:C354"/>
    <mergeCell ref="C402:C403"/>
    <mergeCell ref="E353:E354"/>
    <mergeCell ref="C451:C452"/>
    <mergeCell ref="F525:F526"/>
    <mergeCell ref="F512:F513"/>
    <mergeCell ref="E451:E452"/>
    <mergeCell ref="B266:B288"/>
    <mergeCell ref="F164:F165"/>
    <mergeCell ref="C97:C98"/>
    <mergeCell ref="E308:E329"/>
    <mergeCell ref="F462:F463"/>
    <mergeCell ref="C466:C467"/>
    <mergeCell ref="E224:E225"/>
    <mergeCell ref="E417:E418"/>
    <mergeCell ref="F383:F384"/>
    <mergeCell ref="C453:C454"/>
    <mergeCell ref="E211:E212"/>
    <mergeCell ref="D543:D544"/>
    <mergeCell ref="B60:B61"/>
    <mergeCell ref="C148:C149"/>
    <mergeCell ref="B358:B359"/>
    <mergeCell ref="E148:E149"/>
    <mergeCell ref="B485:B486"/>
    <mergeCell ref="B523:B524"/>
    <mergeCell ref="D485:D486"/>
    <mergeCell ref="I33:I34"/>
    <mergeCell ref="D205:D206"/>
    <mergeCell ref="D339:D340"/>
    <mergeCell ref="B53:B54"/>
    <mergeCell ref="D53:D54"/>
    <mergeCell ref="D9:D10"/>
    <mergeCell ref="F109:F110"/>
    <mergeCell ref="D180:D181"/>
    <mergeCell ref="F9:F10"/>
    <mergeCell ref="F180:F181"/>
    <mergeCell ref="F240:F241"/>
    <mergeCell ref="F345:F346"/>
    <mergeCell ref="D351:D352"/>
    <mergeCell ref="C244:C245"/>
    <mergeCell ref="B360:B361"/>
    <mergeCell ref="C415:C416"/>
    <mergeCell ref="C371:C372"/>
    <mergeCell ref="D482:D483"/>
    <mergeCell ref="B55:B56"/>
    <mergeCell ref="F46:F47"/>
    <mergeCell ref="D55:D56"/>
    <mergeCell ref="D182:D183"/>
    <mergeCell ref="D353:D354"/>
    <mergeCell ref="F11:F12"/>
    <mergeCell ref="F182:F183"/>
    <mergeCell ref="F353:F354"/>
    <mergeCell ref="D480:D481"/>
    <mergeCell ref="F480:F481"/>
    <mergeCell ref="F396:F397"/>
    <mergeCell ref="B434:B435"/>
    <mergeCell ref="C74:C75"/>
    <mergeCell ref="B213:B214"/>
    <mergeCell ref="C543:C544"/>
    <mergeCell ref="B7:B8"/>
    <mergeCell ref="E543:E544"/>
    <mergeCell ref="E537:E538"/>
    <mergeCell ref="C5:C6"/>
    <mergeCell ref="E67:E68"/>
    <mergeCell ref="B144:B145"/>
    <mergeCell ref="E5:E6"/>
    <mergeCell ref="C103:C104"/>
    <mergeCell ref="B215:B216"/>
    <mergeCell ref="B242:B243"/>
    <mergeCell ref="B528:B529"/>
    <mergeCell ref="E430:E431"/>
    <mergeCell ref="B500:B501"/>
    <mergeCell ref="E51:E52"/>
    <mergeCell ref="B494:B495"/>
    <mergeCell ref="E466:E467"/>
    <mergeCell ref="D494:D495"/>
    <mergeCell ref="D233:D234"/>
    <mergeCell ref="F233:F234"/>
    <mergeCell ref="B244:B245"/>
    <mergeCell ref="F531:F532"/>
    <mergeCell ref="B371:B372"/>
    <mergeCell ref="D371:D372"/>
    <mergeCell ref="D406:D407"/>
    <mergeCell ref="F17:F18"/>
    <mergeCell ref="C21:C22"/>
    <mergeCell ref="C192:C193"/>
    <mergeCell ref="D41:D42"/>
    <mergeCell ref="F41:F42"/>
    <mergeCell ref="F351:F352"/>
    <mergeCell ref="C428:C429"/>
    <mergeCell ref="D470:D471"/>
    <mergeCell ref="F228:F229"/>
    <mergeCell ref="C238:C239"/>
    <mergeCell ref="B335:B336"/>
    <mergeCell ref="F470:F471"/>
    <mergeCell ref="D335:D336"/>
    <mergeCell ref="C474:C475"/>
    <mergeCell ref="E158:E159"/>
    <mergeCell ref="C219:C220"/>
    <mergeCell ref="C23:C24"/>
    <mergeCell ref="C194:C195"/>
    <mergeCell ref="C492:C493"/>
    <mergeCell ref="E492:E493"/>
    <mergeCell ref="F341:F342"/>
    <mergeCell ref="B447:B448"/>
    <mergeCell ref="C240:C241"/>
    <mergeCell ref="B99:B100"/>
    <mergeCell ref="B422:B423"/>
    <mergeCell ref="F455:F456"/>
    <mergeCell ref="D422:D423"/>
    <mergeCell ref="C494:C495"/>
    <mergeCell ref="C233:C234"/>
    <mergeCell ref="E162:E163"/>
    <mergeCell ref="E233:E234"/>
    <mergeCell ref="B449:B450"/>
    <mergeCell ref="B188:B189"/>
    <mergeCell ref="E531:E532"/>
    <mergeCell ref="D188:D189"/>
    <mergeCell ref="B424:B425"/>
    <mergeCell ref="D424:D425"/>
    <mergeCell ref="E512:E513"/>
    <mergeCell ref="F546:F547"/>
    <mergeCell ref="B203:B204"/>
    <mergeCell ref="E164:E165"/>
    <mergeCell ref="C406:C407"/>
    <mergeCell ref="B190:B191"/>
    <mergeCell ref="B21:B22"/>
    <mergeCell ref="D190:D191"/>
    <mergeCell ref="D417:D418"/>
    <mergeCell ref="F417:F418"/>
    <mergeCell ref="C246:C265"/>
    <mergeCell ref="G57:G58"/>
    <mergeCell ref="F25:F26"/>
    <mergeCell ref="B219:B220"/>
    <mergeCell ref="D419:D420"/>
    <mergeCell ref="D219:D220"/>
    <mergeCell ref="F419:F420"/>
    <mergeCell ref="C485:C486"/>
    <mergeCell ref="D198:D199"/>
    <mergeCell ref="C205:C206"/>
    <mergeCell ref="F406:F407"/>
    <mergeCell ref="E205:E206"/>
    <mergeCell ref="C472:C473"/>
    <mergeCell ref="C9:C10"/>
    <mergeCell ref="C180:C181"/>
    <mergeCell ref="C422:C423"/>
    <mergeCell ref="E9:E10"/>
    <mergeCell ref="E180:E181"/>
    <mergeCell ref="C482:C483"/>
    <mergeCell ref="C487:C488"/>
    <mergeCell ref="E438:E439"/>
    <mergeCell ref="C90:C91"/>
    <mergeCell ref="E90:E91"/>
    <mergeCell ref="C55:C56"/>
    <mergeCell ref="C388:C389"/>
    <mergeCell ref="C11:C12"/>
    <mergeCell ref="C182:C183"/>
    <mergeCell ref="J7:J8"/>
    <mergeCell ref="E11:E12"/>
    <mergeCell ref="E182:E183"/>
    <mergeCell ref="E375:E376"/>
    <mergeCell ref="E480:E481"/>
    <mergeCell ref="B379:B380"/>
    <mergeCell ref="B550:B551"/>
    <mergeCell ref="B74:B75"/>
    <mergeCell ref="D74:D75"/>
    <mergeCell ref="B201:B202"/>
    <mergeCell ref="B543:B544"/>
    <mergeCell ref="D201:D202"/>
    <mergeCell ref="B5:B6"/>
    <mergeCell ref="D67:D68"/>
    <mergeCell ref="B76:B77"/>
    <mergeCell ref="D5:D6"/>
    <mergeCell ref="F67:F68"/>
    <mergeCell ref="D203:D204"/>
    <mergeCell ref="B51:B52"/>
    <mergeCell ref="E464:E465"/>
    <mergeCell ref="F430:F431"/>
    <mergeCell ref="D51:D52"/>
    <mergeCell ref="C500:C501"/>
    <mergeCell ref="D349:D350"/>
    <mergeCell ref="F392:F393"/>
    <mergeCell ref="F196:F19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FURKAN BAĞ</dc:creator>
  <dcterms:created xmlns:dcterms="http://purl.org/dc/terms/" xmlns:xsi="http://www.w3.org/2001/XMLSchema-instance" xsi:type="dcterms:W3CDTF">2015-06-05T18:19:34Z</dcterms:created>
  <dcterms:modified xmlns:dcterms="http://purl.org/dc/terms/" xmlns:xsi="http://www.w3.org/2001/XMLSchema-instance" xsi:type="dcterms:W3CDTF">2026-10-09T11:25:05Z</dcterms:modified>
  <cp:lastModifiedBy>botas talu</cp:lastModifiedBy>
  <cp:lastPrinted>2025-11-22T14:14:51Z</cp:lastPrinted>
</cp:coreProperties>
</file>