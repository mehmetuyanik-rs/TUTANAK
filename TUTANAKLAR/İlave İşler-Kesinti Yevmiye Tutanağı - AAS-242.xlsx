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11FF542-DB9B-47FC-B9AD-16FEC60B67E6}" xr6:coauthVersionLast="47" xr6:coauthVersionMax="47" xr10:uidLastSave="{00000000-0000-0000-0000-000000000000}"/>
  <bookViews>
    <workbookView xWindow="35880" yWindow="5685" windowWidth="11580" windowHeight="283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<sst xmlns="http://schemas.openxmlformats.org/spreadsheetml/2006/main" count="108" uniqueCount="90">
  <si>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</si>
  <si>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</si>
  <si>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</si>
  <si>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</si>
  <si>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</si>
  <si>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</si>
  <si>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</si>
  <si>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</si>
  <si>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</si>
  <si>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</si>
  <si>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</si>
  <si>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</si>
  <si>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</si>
  <si>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</si>
  <si>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</si>
  <si>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</si>
  <si>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</si>
  <si>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</si>
  <si>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</si>
  <si>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</si>
  <si>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</si>
  <si>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</si>
  <si>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</si>
  <si>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</si>
  <si>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</si>
  <si>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</si>
  <si>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</si>
  <si>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</si>
  <si>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</si>
  <si>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</si>
  <si>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</si>
  <si>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</si>
  <si>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</si>
  <si>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</si>
  <si>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</si>
  <si>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</si>
  <si>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</si>
  <si>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</si>
  <si>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</si>
  <si>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</si>
  <si>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</si>
  <si>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</si>
  <si>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</si>
  <si>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</si>
  <si>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</si>
  <si>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</si>
  <si>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</si>
  <si>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</si>
  <si>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</si>
  <si>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</si>
  <si>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</si>
  <si>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</si>
  <si>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</si>
  <si>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</si>
  <si>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</si>
  <si>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</si>
  <si>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</si>
  <si>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</si>
  <si>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</si>
  <si>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</si>
  <si>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</si>
  <si>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</si>
  <si>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</si>
  <si>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</si>
  <si>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</si>
  <si>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</si>
  <si>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</si>
  <si>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</si>
  <si>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</si>
  <si>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</si>
  <si>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</si>
  <si>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</si>
  <si>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</si>
  <si>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</si>
  <si>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</si>
  <si>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</si>
  <si>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</si>
  <si>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</si>
  <si>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</si>
  <si>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</si>
  <si>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</si>
  <si>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</si>
  <si>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</si>
  <si>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</si>
  <si>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</si>
  <si>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242</t>
  </si>
  <si>
    <t>C3 / 10.20</t>
  </si>
  <si>
    <t xml:space="preserve">C3 Blok 10.20 kotu,mekanik kanalları imalatlara engel olduğu için tarafımızca uygun alanlara taşınmıştır. </t>
  </si>
  <si>
    <t>SEMİH GÜNEY (USTA YARDIMCISI)</t>
  </si>
  <si>
    <t>HİKMET DENİZ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</si>
</sst>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238125</xdr:colOff>
      <xdr:row>11</xdr:row>
      <xdr:rowOff>47625</xdr:rowOff>
    </xdr:from>
    <xdr:to>
      <xdr:col>9</xdr:col>
      <xdr:colOff>519113</xdr:colOff>
      <xdr:row>52</xdr:row>
      <xdr:rowOff>200025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4DE9871-0B55-4E88-B6F6-4A648D7AC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938" y="273843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269063</xdr:colOff>
      <xdr:row>53</xdr:row>
      <xdr:rowOff>197625</xdr:rowOff>
    </xdr:from>
    <xdr:to>
      <xdr:col>9</xdr:col>
      <xdr:colOff>550051</xdr:colOff>
      <xdr:row>102</xdr:row>
      <xdr:rowOff>64275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3DCFB9F-608A-4C81-9419-2807E7322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2876" y="131040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E28" sqref="E28:L3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46255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86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5" t="s">
        <v>88</v>
      </c>
      <c r="D43" s="166"/>
      <c r="E43" s="73">
        <f t="shared" ref="E43:E44" si="0">+$D$5</f>
        <v>46255</v>
      </c>
      <c r="F43" s="74" t="s">
        <v>82</v>
      </c>
      <c r="G43" s="74">
        <v>1</v>
      </c>
      <c r="H43" s="86"/>
      <c r="I43" s="86"/>
      <c r="J43" s="168">
        <f>+H43*G43</f>
        <v>0</v>
      </c>
      <c r="K43" s="168"/>
      <c r="L43" s="169"/>
    </row>
    <row r="44" spans="2:13" ht="25.15" customHeight="1" x14ac:dyDescent="0.25">
      <c r="B44" s="2">
        <v>2</v>
      </c>
      <c r="C44" s="165" t="s">
        <v>89</v>
      </c>
      <c r="D44" s="166"/>
      <c r="E44" s="73">
        <f t="shared" si="0"/>
        <v>46255</v>
      </c>
      <c r="F44" s="74" t="s">
        <v>82</v>
      </c>
      <c r="G44" s="74">
        <v>1</v>
      </c>
      <c r="H44" s="86"/>
      <c r="I44" s="86"/>
      <c r="J44" s="168">
        <f t="shared" ref="J44:J60" si="1">+H44*G44</f>
        <v>0</v>
      </c>
      <c r="K44" s="168"/>
      <c r="L44" s="169"/>
    </row>
    <row r="45" spans="2:13" ht="25.15" customHeight="1" x14ac:dyDescent="0.25">
      <c r="B45" s="2">
        <v>3</v>
      </c>
      <c r="C45" s="165"/>
      <c r="D45" s="166"/>
      <c r="E45" s="73"/>
      <c r="F45" s="75"/>
      <c r="G45" s="75"/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5"/>
      <c r="D46" s="166"/>
      <c r="E46" s="73"/>
      <c r="F46" s="76"/>
      <c r="G46" s="76"/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5"/>
      <c r="D47" s="166"/>
      <c r="E47" s="73"/>
      <c r="F47" s="76"/>
      <c r="G47" s="76"/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5"/>
      <c r="D48" s="166"/>
      <c r="E48" s="73"/>
      <c r="F48" s="77"/>
      <c r="G48" s="77"/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7"/>
      <c r="G51" s="77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7"/>
      <c r="G52" s="77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/>
      <c r="D56" s="163"/>
      <c r="E56" s="73"/>
      <c r="F56" s="48"/>
      <c r="G56" s="48"/>
      <c r="H56" s="167"/>
      <c r="I56" s="163"/>
      <c r="J56" s="167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7"/>
      <c r="I57" s="163"/>
      <c r="J57" s="167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7"/>
      <c r="I58" s="163"/>
      <c r="J58" s="167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7"/>
      <c r="I59" s="163"/>
      <c r="J59" s="167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7"/>
      <c r="I60" s="163"/>
      <c r="J60" s="167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44" sqref="J44:L4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46255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242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/ 10.20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2026-09-15T13:40:43Z</cp:lastPrinted>
  <dcterms:created xsi:type="dcterms:W3CDTF">2014-05-26T07:40:11Z</dcterms:created>
  <dcterms:modified xsi:type="dcterms:W3CDTF">2026-09-15T13:42:49Z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