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36176FF-7776-4119-88C5-B7EB305D8750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<sst xmlns="http://schemas.openxmlformats.org/spreadsheetml/2006/main" count="110" uniqueCount="92">
  <si>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</si>
  <si>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</si>
  <si>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</si>
  <si>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</si>
  <si>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</si>
  <si>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</si>
  <si>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</si>
  <si>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</si>
  <si>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</si>
  <si>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</si>
  <si>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</si>
  <si>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</si>
  <si>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</si>
  <si>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</si>
  <si>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</si>
  <si>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</si>
  <si>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</si>
  <si>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</si>
  <si>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</si>
  <si>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</si>
  <si>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</si>
  <si>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</si>
  <si>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</si>
  <si>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</si>
  <si>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</si>
  <si>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</si>
  <si>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</si>
  <si>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</si>
  <si>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</si>
  <si>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</si>
  <si>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</si>
  <si>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</si>
  <si>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</si>
  <si>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</si>
  <si>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</si>
  <si>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</si>
  <si>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</si>
  <si>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</si>
  <si>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</si>
  <si>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</si>
  <si>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</si>
  <si>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</si>
  <si>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</si>
  <si>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</si>
  <si>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</si>
  <si>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</si>
  <si>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</si>
  <si>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</si>
  <si>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</si>
  <si>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</si>
  <si>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</si>
  <si>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</si>
  <si>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</si>
  <si>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</si>
  <si>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</si>
  <si>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</si>
  <si>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</si>
  <si>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</si>
  <si>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</si>
  <si>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</si>
  <si>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</si>
  <si>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</si>
  <si>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</si>
  <si>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</si>
  <si>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</si>
  <si>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</si>
  <si>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</si>
  <si>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</si>
  <si>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</si>
  <si>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</si>
  <si>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</si>
  <si>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</si>
  <si>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</si>
  <si>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</si>
  <si>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</si>
  <si>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</si>
  <si>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</si>
  <si>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</si>
  <si>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</si>
  <si>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</si>
  <si>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</si>
  <si>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</si>
  <si>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</si>
  <si>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</si>
  <si>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</si>
  <si>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M2</t>
  </si>
  <si>
    <t>İSA ÇİFTÇİ(USTA YARDIMCISI)</t>
  </si>
  <si>
    <t>MUHAMMED ÇALAĞAN(USTA)</t>
  </si>
  <si>
    <t>237</t>
  </si>
  <si>
    <t>C3 / 10.20</t>
  </si>
  <si>
    <t>C3 Blok 10.20 kotunda, hasar gören alçıpan duvar karkası sökülerek gerekli düzeltmeler yapılmıştır.</t>
  </si>
  <si>
    <t>dc50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</si>
</sst>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238125</xdr:colOff>
      <xdr:row>12</xdr:row>
      <xdr:rowOff>119062</xdr:rowOff>
    </xdr:from>
    <xdr:to>
      <xdr:col>9</xdr:col>
      <xdr:colOff>519113</xdr:colOff>
      <xdr:row>53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AD06BCE-A586-41A2-8BDF-5E11F68FA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938" y="3000375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221438</xdr:colOff>
      <xdr:row>54</xdr:row>
      <xdr:rowOff>126187</xdr:rowOff>
    </xdr:from>
    <xdr:to>
      <xdr:col>9</xdr:col>
      <xdr:colOff>532009</xdr:colOff>
      <xdr:row>103</xdr:row>
      <xdr:rowOff>111900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52CF059B-949E-4DF8-88BB-1579F5521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5251" y="13342125"/>
          <a:ext cx="7573383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46245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88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89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90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87</v>
      </c>
      <c r="D43" s="100"/>
      <c r="E43" s="73">
        <f t="shared" ref="E43:E48" si="0">+$D$5</f>
        <v>46245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101" t="s">
        <v>86</v>
      </c>
      <c r="D44" s="102"/>
      <c r="E44" s="73">
        <f t="shared" si="0"/>
        <v>46245</v>
      </c>
      <c r="F44" s="74" t="s">
        <v>82</v>
      </c>
      <c r="G44" s="74">
        <v>1</v>
      </c>
      <c r="H44" s="96">
        <v>2851.48</v>
      </c>
      <c r="I44" s="96"/>
      <c r="J44" s="94">
        <f t="shared" ref="J44:J60" si="1">+H44*G44</f>
        <v>2851.48</v>
      </c>
      <c r="K44" s="94"/>
      <c r="L44" s="95"/>
    </row>
    <row r="45" spans="2:13" ht="25.15" customHeight="1" x14ac:dyDescent="0.25">
      <c r="B45" s="2">
        <v>3</v>
      </c>
      <c r="C45" s="101"/>
      <c r="D45" s="102"/>
      <c r="E45" s="73"/>
      <c r="F45" s="75"/>
      <c r="G45" s="75"/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101"/>
      <c r="D46" s="102"/>
      <c r="E46" s="73"/>
      <c r="F46" s="76"/>
      <c r="G46" s="76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101"/>
      <c r="D47" s="102"/>
      <c r="E47" s="73"/>
      <c r="F47" s="76"/>
      <c r="G47" s="76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101"/>
      <c r="D48" s="102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7"/>
      <c r="G51" s="77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7"/>
      <c r="G52" s="77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6977.9599999999991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91</v>
      </c>
      <c r="D56" s="84"/>
      <c r="E56" s="73">
        <f>+E43</f>
        <v>46245</v>
      </c>
      <c r="F56" s="48" t="s">
        <v>85</v>
      </c>
      <c r="G56" s="48">
        <v>19.04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6977.9599999999991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69" sqref="J6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46245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237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C3 / 10.20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2026-08-21T08:21:27Z</cp:lastPrinted>
  <dcterms:created xsi:type="dcterms:W3CDTF">2014-05-26T07:40:11Z</dcterms:created>
  <dcterms:modified xsi:type="dcterms:W3CDTF">2026-08-21T08:21:30Z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