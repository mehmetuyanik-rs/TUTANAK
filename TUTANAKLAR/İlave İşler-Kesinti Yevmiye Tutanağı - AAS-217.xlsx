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F4653C0-A056-42AD-B2C2-6A087D5BCE00}" xr6:coauthVersionLast="47" xr6:coauthVersionMax="47" xr10:uidLastSave="{00000000-0000-0000-0000-000000000000}"/>
  <bookViews>
    <workbookView xWindow="29475" yWindow="697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<sst xmlns="http://schemas.openxmlformats.org/spreadsheetml/2006/main" count="112" uniqueCount="92">
  <si>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</si>
  <si>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</si>
  <si>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</si>
  <si>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</si>
  <si>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</si>
  <si>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</si>
  <si>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</si>
  <si>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</si>
  <si>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</si>
  <si>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</si>
  <si>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</si>
  <si>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</si>
  <si>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</si>
  <si>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</si>
  <si>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</si>
  <si>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</si>
  <si>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</si>
  <si>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</si>
  <si>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</si>
  <si>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</si>
  <si>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</si>
  <si>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</si>
  <si>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</si>
  <si>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</si>
  <si>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</si>
  <si>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</si>
  <si>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</si>
  <si>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</si>
  <si>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</si>
  <si>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</si>
  <si>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</si>
  <si>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</si>
  <si>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</si>
  <si>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</si>
  <si>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</si>
  <si>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</si>
  <si>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</si>
  <si>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</si>
  <si>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</si>
  <si>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</si>
  <si>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</si>
  <si>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</si>
  <si>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</si>
  <si>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</si>
  <si>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</si>
  <si>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</si>
  <si>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</si>
  <si>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</si>
  <si>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</si>
  <si>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</si>
  <si>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</si>
  <si>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</si>
  <si>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</si>
  <si>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</si>
  <si>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</si>
  <si>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</si>
  <si>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</si>
  <si>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</si>
  <si>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</si>
  <si>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</si>
  <si>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</si>
  <si>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</si>
  <si>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</si>
  <si>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</si>
  <si>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</si>
  <si>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</si>
  <si>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</si>
  <si>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</si>
  <si>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</si>
  <si>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</si>
  <si>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</si>
  <si>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</si>
  <si>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</si>
  <si>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</si>
  <si>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</si>
  <si>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</si>
  <si>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</si>
  <si>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</si>
  <si>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</si>
  <si>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</si>
  <si>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</si>
  <si>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</si>
  <si>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</si>
  <si>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</si>
  <si>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</si>
  <si>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217</t>
  </si>
  <si>
    <t>C3 /15.20</t>
  </si>
  <si>
    <t>C3 Blok 15.20 kotunda, saten imalatının devam edebilmesi için blokta bulunan kanallar uygun alanlara alınmıştır.</t>
  </si>
  <si>
    <t>MURAT SONGURAL(USTA YARDIMCISI)</t>
  </si>
  <si>
    <t>SEMİH GÜNEY(USTA YARDIMCISI)</t>
  </si>
  <si>
    <t>HASAN KURT(USTA YARDIMCISI)</t>
  </si>
  <si>
    <t>YASİN SARISU(USTA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</si>
</sst>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46225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85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86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87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88</v>
      </c>
      <c r="D43" s="88"/>
      <c r="E43" s="73">
        <f t="shared" ref="E43:E50" si="0">+$D$5</f>
        <v>46225</v>
      </c>
      <c r="F43" s="75" t="s">
        <v>82</v>
      </c>
      <c r="G43" s="75">
        <v>1</v>
      </c>
      <c r="H43" s="86">
        <v>2851.48</v>
      </c>
      <c r="I43" s="86"/>
      <c r="J43" s="166">
        <f>+H43*G43</f>
        <v>2851.48</v>
      </c>
      <c r="K43" s="166"/>
      <c r="L43" s="167"/>
    </row>
    <row r="44" spans="2:13" ht="25.15" customHeight="1" x14ac:dyDescent="0.25">
      <c r="B44" s="2">
        <v>2</v>
      </c>
      <c r="C44" s="87" t="s">
        <v>89</v>
      </c>
      <c r="D44" s="88"/>
      <c r="E44" s="73">
        <f t="shared" si="0"/>
        <v>46225</v>
      </c>
      <c r="F44" s="75" t="s">
        <v>82</v>
      </c>
      <c r="G44" s="75">
        <v>1</v>
      </c>
      <c r="H44" s="86">
        <v>2851.48</v>
      </c>
      <c r="I44" s="86"/>
      <c r="J44" s="166">
        <f t="shared" ref="J44:J60" si="1">+H44*G44</f>
        <v>2851.48</v>
      </c>
      <c r="K44" s="166"/>
      <c r="L44" s="167"/>
    </row>
    <row r="45" spans="2:13" ht="25.15" customHeight="1" x14ac:dyDescent="0.25">
      <c r="B45" s="2">
        <v>3</v>
      </c>
      <c r="C45" s="87" t="s">
        <v>90</v>
      </c>
      <c r="D45" s="88"/>
      <c r="E45" s="73">
        <f t="shared" si="0"/>
        <v>46225</v>
      </c>
      <c r="F45" s="76" t="s">
        <v>82</v>
      </c>
      <c r="G45" s="76">
        <v>1</v>
      </c>
      <c r="H45" s="86">
        <v>2851.48</v>
      </c>
      <c r="I45" s="86"/>
      <c r="J45" s="166">
        <f t="shared" si="1"/>
        <v>2851.48</v>
      </c>
      <c r="K45" s="166"/>
      <c r="L45" s="167"/>
    </row>
    <row r="46" spans="2:13" ht="25.15" customHeight="1" x14ac:dyDescent="0.25">
      <c r="B46" s="2">
        <v>4</v>
      </c>
      <c r="C46" s="87" t="s">
        <v>91</v>
      </c>
      <c r="D46" s="88"/>
      <c r="E46" s="73">
        <f t="shared" si="0"/>
        <v>46225</v>
      </c>
      <c r="F46" s="77" t="s">
        <v>82</v>
      </c>
      <c r="G46" s="77">
        <v>1</v>
      </c>
      <c r="H46" s="86">
        <v>2851.48</v>
      </c>
      <c r="I46" s="86"/>
      <c r="J46" s="166">
        <f t="shared" ref="J46:J52" si="2">+H46*G46</f>
        <v>2851.48</v>
      </c>
      <c r="K46" s="166"/>
      <c r="L46" s="167"/>
    </row>
    <row r="47" spans="2:13" ht="25.15" customHeight="1" x14ac:dyDescent="0.25">
      <c r="B47" s="2">
        <v>5</v>
      </c>
      <c r="C47" s="87"/>
      <c r="D47" s="88"/>
      <c r="E47" s="73"/>
      <c r="F47" s="77"/>
      <c r="G47" s="77"/>
      <c r="H47" s="86"/>
      <c r="I47" s="86"/>
      <c r="J47" s="166">
        <f t="shared" si="2"/>
        <v>0</v>
      </c>
      <c r="K47" s="166"/>
      <c r="L47" s="167"/>
    </row>
    <row r="48" spans="2:13" ht="25.15" customHeight="1" x14ac:dyDescent="0.25">
      <c r="B48" s="2">
        <v>6</v>
      </c>
      <c r="C48" s="87"/>
      <c r="D48" s="88"/>
      <c r="E48" s="73"/>
      <c r="F48" s="77"/>
      <c r="G48" s="77"/>
      <c r="H48" s="86"/>
      <c r="I48" s="86"/>
      <c r="J48" s="166">
        <f t="shared" ref="J48:J50" si="3">+H48*G48</f>
        <v>0</v>
      </c>
      <c r="K48" s="166"/>
      <c r="L48" s="167"/>
    </row>
    <row r="49" spans="2:12" ht="25.15" customHeight="1" x14ac:dyDescent="0.25">
      <c r="B49" s="2">
        <v>7</v>
      </c>
      <c r="C49" s="87"/>
      <c r="D49" s="88"/>
      <c r="E49" s="73"/>
      <c r="F49" s="77"/>
      <c r="G49" s="77"/>
      <c r="H49" s="86"/>
      <c r="I49" s="86"/>
      <c r="J49" s="166">
        <f t="shared" si="3"/>
        <v>0</v>
      </c>
      <c r="K49" s="166"/>
      <c r="L49" s="167"/>
    </row>
    <row r="50" spans="2:12" ht="25.15" customHeight="1" x14ac:dyDescent="0.25">
      <c r="B50" s="2">
        <v>8</v>
      </c>
      <c r="C50" s="87"/>
      <c r="D50" s="88"/>
      <c r="E50" s="73"/>
      <c r="F50" s="77"/>
      <c r="G50" s="77"/>
      <c r="H50" s="86"/>
      <c r="I50" s="86"/>
      <c r="J50" s="166">
        <f t="shared" si="3"/>
        <v>0</v>
      </c>
      <c r="K50" s="166"/>
      <c r="L50" s="167"/>
    </row>
    <row r="51" spans="2:12" ht="25.15" customHeight="1" x14ac:dyDescent="0.25">
      <c r="B51" s="2">
        <v>9</v>
      </c>
      <c r="C51" s="87"/>
      <c r="D51" s="88"/>
      <c r="E51" s="73"/>
      <c r="F51" s="74"/>
      <c r="G51" s="74"/>
      <c r="H51" s="86"/>
      <c r="I51" s="86"/>
      <c r="J51" s="166">
        <f t="shared" si="2"/>
        <v>0</v>
      </c>
      <c r="K51" s="166"/>
      <c r="L51" s="167"/>
    </row>
    <row r="52" spans="2:12" ht="25.15" customHeight="1" thickBot="1" x14ac:dyDescent="0.3">
      <c r="B52" s="2">
        <v>10</v>
      </c>
      <c r="C52" s="87"/>
      <c r="D52" s="88"/>
      <c r="E52" s="73"/>
      <c r="F52" s="74"/>
      <c r="G52" s="74"/>
      <c r="H52" s="86"/>
      <c r="I52" s="86"/>
      <c r="J52" s="166">
        <f t="shared" si="2"/>
        <v>0</v>
      </c>
      <c r="K52" s="166"/>
      <c r="L52" s="167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68">
        <f>+SUM(J43:L52)</f>
        <v>11405.92</v>
      </c>
      <c r="K53" s="169"/>
      <c r="L53" s="17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/>
      <c r="D56" s="163"/>
      <c r="E56" s="73"/>
      <c r="F56" s="48"/>
      <c r="G56" s="48"/>
      <c r="H56" s="165"/>
      <c r="I56" s="163"/>
      <c r="J56" s="165">
        <f t="shared" si="1"/>
        <v>0</v>
      </c>
      <c r="K56" s="163"/>
      <c r="L56" s="171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1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1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1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1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68">
        <f>+SUM(J56:L60)</f>
        <v>0</v>
      </c>
      <c r="K61" s="169"/>
      <c r="L61" s="170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68">
        <f>+J61+J53</f>
        <v>11405.92</v>
      </c>
      <c r="K62" s="169"/>
      <c r="L62" s="17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2"/>
      <c r="I63" s="172"/>
      <c r="J63" s="173"/>
      <c r="K63" s="174"/>
      <c r="L63" s="174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46225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4" t="str">
        <f>'İLAVE İS TUT.'!D7</f>
        <v>217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C3 /15.20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1"/>
      <c r="G15" s="191"/>
      <c r="H15" s="191"/>
      <c r="I15" s="191"/>
      <c r="J15" s="191"/>
      <c r="K15" s="191"/>
      <c r="L15" s="191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1"/>
      <c r="G25" s="191"/>
      <c r="H25" s="191"/>
      <c r="I25" s="191"/>
      <c r="J25" s="191"/>
      <c r="K25" s="191"/>
      <c r="L25" s="191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2"/>
      <c r="C38" s="192"/>
      <c r="D38" s="193"/>
      <c r="E38" s="193"/>
      <c r="F38" s="193"/>
      <c r="G38" s="193"/>
      <c r="H38" s="193"/>
      <c r="I38" s="193"/>
      <c r="J38" s="193"/>
      <c r="K38" s="193"/>
      <c r="L38" s="193"/>
      <c r="M38" s="1"/>
    </row>
    <row r="39" spans="2:13" x14ac:dyDescent="0.25">
      <c r="B39" s="192"/>
      <c r="C39" s="192"/>
      <c r="D39" s="193"/>
      <c r="E39" s="193"/>
      <c r="F39" s="193"/>
      <c r="G39" s="193"/>
      <c r="H39" s="193"/>
      <c r="I39" s="193"/>
      <c r="J39" s="193"/>
      <c r="K39" s="193"/>
      <c r="L39" s="19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9"/>
      <c r="I41" s="189"/>
      <c r="J41" s="189"/>
      <c r="K41" s="189"/>
      <c r="L41" s="189"/>
    </row>
    <row r="42" spans="2:13" ht="25.15" customHeight="1" x14ac:dyDescent="0.25">
      <c r="B42" s="71"/>
      <c r="C42" s="63"/>
      <c r="D42" s="71"/>
      <c r="E42" s="71"/>
      <c r="F42" s="71"/>
      <c r="G42" s="71"/>
      <c r="H42" s="189"/>
      <c r="I42" s="189"/>
      <c r="J42" s="189"/>
      <c r="K42" s="189"/>
      <c r="L42" s="189"/>
    </row>
    <row r="43" spans="2:13" ht="25.15" customHeight="1" x14ac:dyDescent="0.25">
      <c r="B43" s="64"/>
      <c r="C43" s="184"/>
      <c r="D43" s="184"/>
      <c r="E43" s="65"/>
      <c r="F43" s="72"/>
      <c r="G43" s="72"/>
      <c r="H43" s="190"/>
      <c r="I43" s="190"/>
      <c r="J43" s="185"/>
      <c r="K43" s="184"/>
      <c r="L43" s="184"/>
    </row>
    <row r="44" spans="2:13" ht="25.15" customHeight="1" x14ac:dyDescent="0.25">
      <c r="B44" s="64"/>
      <c r="C44" s="184"/>
      <c r="D44" s="184"/>
      <c r="E44" s="66"/>
      <c r="F44" s="72"/>
      <c r="G44" s="72"/>
      <c r="H44" s="190"/>
      <c r="I44" s="190"/>
      <c r="J44" s="185"/>
      <c r="K44" s="184"/>
      <c r="L44" s="184"/>
    </row>
    <row r="45" spans="2:13" ht="25.15" customHeight="1" x14ac:dyDescent="0.25">
      <c r="B45" s="64"/>
      <c r="C45" s="184"/>
      <c r="D45" s="184"/>
      <c r="E45" s="66"/>
      <c r="F45" s="72"/>
      <c r="G45" s="72"/>
      <c r="H45" s="190"/>
      <c r="I45" s="190"/>
      <c r="J45" s="185"/>
      <c r="K45" s="184"/>
      <c r="L45" s="184"/>
    </row>
    <row r="46" spans="2:13" ht="25.15" customHeight="1" x14ac:dyDescent="0.25">
      <c r="B46" s="64"/>
      <c r="C46" s="184"/>
      <c r="D46" s="184"/>
      <c r="E46" s="67"/>
      <c r="F46" s="72"/>
      <c r="G46" s="72"/>
      <c r="H46" s="185"/>
      <c r="I46" s="184"/>
      <c r="J46" s="185"/>
      <c r="K46" s="184"/>
      <c r="L46" s="184"/>
    </row>
    <row r="47" spans="2:13" ht="25.15" customHeight="1" x14ac:dyDescent="0.25">
      <c r="B47" s="64"/>
      <c r="C47" s="184"/>
      <c r="D47" s="184"/>
      <c r="E47" s="66"/>
      <c r="F47" s="72"/>
      <c r="G47" s="72"/>
      <c r="H47" s="185"/>
      <c r="I47" s="184"/>
      <c r="J47" s="185"/>
      <c r="K47" s="184"/>
      <c r="L47" s="184"/>
    </row>
    <row r="48" spans="2:13" ht="25.15" customHeight="1" x14ac:dyDescent="0.25">
      <c r="B48" s="186"/>
      <c r="C48" s="186"/>
      <c r="D48" s="186"/>
      <c r="E48" s="186"/>
      <c r="F48" s="186"/>
      <c r="G48" s="186"/>
      <c r="H48" s="186"/>
      <c r="I48" s="186"/>
      <c r="J48" s="187"/>
      <c r="K48" s="187"/>
      <c r="L48" s="187"/>
    </row>
    <row r="49" spans="2:12" ht="25.15" customHeight="1" x14ac:dyDescent="0.25">
      <c r="B49" s="71"/>
      <c r="C49" s="63"/>
      <c r="D49" s="71"/>
      <c r="E49" s="71"/>
      <c r="F49" s="71"/>
      <c r="G49" s="71"/>
      <c r="H49" s="189"/>
      <c r="I49" s="189"/>
      <c r="J49" s="189"/>
      <c r="K49" s="189"/>
      <c r="L49" s="189"/>
    </row>
    <row r="50" spans="2:12" ht="25.15" customHeight="1" x14ac:dyDescent="0.25">
      <c r="B50" s="71"/>
      <c r="C50" s="63"/>
      <c r="D50" s="71"/>
      <c r="E50" s="71"/>
      <c r="F50" s="71"/>
      <c r="G50" s="71"/>
      <c r="H50" s="189"/>
      <c r="I50" s="189"/>
      <c r="J50" s="189"/>
      <c r="K50" s="189"/>
      <c r="L50" s="189"/>
    </row>
    <row r="51" spans="2:12" ht="25.15" customHeight="1" x14ac:dyDescent="0.25">
      <c r="B51" s="64"/>
      <c r="C51" s="184"/>
      <c r="D51" s="184"/>
      <c r="E51" s="66"/>
      <c r="F51" s="72"/>
      <c r="G51" s="72"/>
      <c r="H51" s="185"/>
      <c r="I51" s="184"/>
      <c r="J51" s="185"/>
      <c r="K51" s="184"/>
      <c r="L51" s="184"/>
    </row>
    <row r="52" spans="2:12" ht="25.15" customHeight="1" x14ac:dyDescent="0.25">
      <c r="B52" s="64"/>
      <c r="C52" s="184"/>
      <c r="D52" s="184"/>
      <c r="E52" s="66"/>
      <c r="F52" s="72"/>
      <c r="G52" s="72"/>
      <c r="H52" s="185"/>
      <c r="I52" s="184"/>
      <c r="J52" s="185"/>
      <c r="K52" s="184"/>
      <c r="L52" s="184"/>
    </row>
    <row r="53" spans="2:12" ht="25.15" customHeight="1" x14ac:dyDescent="0.25">
      <c r="B53" s="64"/>
      <c r="C53" s="184"/>
      <c r="D53" s="184"/>
      <c r="E53" s="66"/>
      <c r="F53" s="72"/>
      <c r="G53" s="72"/>
      <c r="H53" s="185"/>
      <c r="I53" s="184"/>
      <c r="J53" s="185"/>
      <c r="K53" s="184"/>
      <c r="L53" s="184"/>
    </row>
    <row r="54" spans="2:12" ht="25.15" customHeight="1" x14ac:dyDescent="0.25">
      <c r="B54" s="64"/>
      <c r="C54" s="184"/>
      <c r="D54" s="184"/>
      <c r="E54" s="66"/>
      <c r="F54" s="72"/>
      <c r="G54" s="72"/>
      <c r="H54" s="185"/>
      <c r="I54" s="184"/>
      <c r="J54" s="185"/>
      <c r="K54" s="184"/>
      <c r="L54" s="184"/>
    </row>
    <row r="55" spans="2:12" ht="25.15" customHeight="1" x14ac:dyDescent="0.25">
      <c r="B55" s="64"/>
      <c r="C55" s="184"/>
      <c r="D55" s="184"/>
      <c r="E55" s="66"/>
      <c r="F55" s="72"/>
      <c r="G55" s="72"/>
      <c r="H55" s="185"/>
      <c r="I55" s="184"/>
      <c r="J55" s="185"/>
      <c r="K55" s="184"/>
      <c r="L55" s="184"/>
    </row>
    <row r="56" spans="2:12" ht="25.15" customHeight="1" x14ac:dyDescent="0.25">
      <c r="B56" s="186"/>
      <c r="C56" s="186"/>
      <c r="D56" s="186"/>
      <c r="E56" s="186"/>
      <c r="F56" s="186"/>
      <c r="G56" s="186"/>
      <c r="H56" s="186"/>
      <c r="I56" s="186"/>
      <c r="J56" s="187"/>
      <c r="K56" s="187"/>
      <c r="L56" s="187"/>
    </row>
    <row r="57" spans="2:12" ht="25.15" customHeight="1" x14ac:dyDescent="0.25">
      <c r="B57" s="186"/>
      <c r="C57" s="186"/>
      <c r="D57" s="186"/>
      <c r="E57" s="186"/>
      <c r="F57" s="186"/>
      <c r="G57" s="186"/>
      <c r="H57" s="186"/>
      <c r="I57" s="186"/>
      <c r="J57" s="187"/>
      <c r="K57" s="187"/>
      <c r="L57" s="187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5"/>
      <c r="K58" s="184"/>
      <c r="L58" s="184"/>
    </row>
    <row r="59" spans="2:12" ht="21" customHeight="1" x14ac:dyDescent="0.25"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</row>
    <row r="71" spans="2:12" ht="19.899999999999999" customHeight="1" x14ac:dyDescent="0.25">
      <c r="B71" s="181"/>
      <c r="C71" s="181"/>
      <c r="D71" s="181"/>
      <c r="E71" s="181"/>
      <c r="F71" s="182"/>
      <c r="G71" s="182"/>
      <c r="H71" s="182"/>
      <c r="I71" s="183"/>
      <c r="J71" s="183"/>
      <c r="K71" s="183"/>
      <c r="L71" s="183"/>
    </row>
    <row r="72" spans="2:12" ht="19.899999999999999" customHeight="1" x14ac:dyDescent="0.25">
      <c r="B72" s="181"/>
      <c r="C72" s="181"/>
      <c r="D72" s="181"/>
      <c r="E72" s="181"/>
      <c r="F72" s="182"/>
      <c r="G72" s="182"/>
      <c r="H72" s="182"/>
      <c r="I72" s="183"/>
      <c r="J72" s="183"/>
      <c r="K72" s="183"/>
      <c r="L72" s="183"/>
    </row>
    <row r="73" spans="2:12" ht="19.899999999999999" customHeight="1" x14ac:dyDescent="0.25">
      <c r="B73" s="181"/>
      <c r="C73" s="181"/>
      <c r="D73" s="181"/>
      <c r="E73" s="181"/>
      <c r="F73" s="182"/>
      <c r="G73" s="182"/>
      <c r="H73" s="182"/>
    </row>
    <row r="74" spans="2:12" ht="14.45" customHeight="1" x14ac:dyDescent="0.25">
      <c r="I74" s="177"/>
      <c r="J74" s="177"/>
      <c r="K74" s="177"/>
      <c r="L74" s="177"/>
    </row>
    <row r="75" spans="2:12" ht="14.65" customHeight="1" x14ac:dyDescent="0.25">
      <c r="F75" s="68"/>
      <c r="G75" s="68"/>
      <c r="H75" s="68"/>
      <c r="I75" s="177"/>
      <c r="J75" s="177"/>
      <c r="K75" s="177"/>
      <c r="L75" s="177"/>
    </row>
    <row r="76" spans="2:12" x14ac:dyDescent="0.25">
      <c r="F76" s="68"/>
      <c r="G76" s="68"/>
      <c r="H76" s="68"/>
    </row>
    <row r="81" spans="2:12" ht="21" customHeight="1" x14ac:dyDescent="0.25">
      <c r="B81" s="178"/>
      <c r="C81" s="178"/>
      <c r="D81" s="178"/>
      <c r="E81" s="178"/>
      <c r="F81" s="178"/>
      <c r="G81" s="178"/>
      <c r="H81" s="17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5"/>
      <c r="D83" s="175"/>
      <c r="E83" s="175"/>
      <c r="F83" s="68"/>
      <c r="G83" s="68"/>
      <c r="H83" s="68"/>
    </row>
    <row r="84" spans="2:12" x14ac:dyDescent="0.25">
      <c r="C84" s="175"/>
      <c r="D84" s="175"/>
      <c r="E84" s="175"/>
      <c r="F84" s="68"/>
      <c r="G84" s="68"/>
      <c r="H84" s="68"/>
    </row>
    <row r="86" spans="2:12" ht="14.65" customHeight="1" x14ac:dyDescent="0.25">
      <c r="C86" s="175"/>
      <c r="D86" s="175"/>
      <c r="E86" s="175"/>
      <c r="F86" s="68"/>
      <c r="G86" s="68"/>
      <c r="H86" s="68"/>
    </row>
    <row r="87" spans="2:12" x14ac:dyDescent="0.25">
      <c r="C87" s="175"/>
      <c r="D87" s="175"/>
      <c r="E87" s="175"/>
      <c r="F87" s="68"/>
      <c r="G87" s="68"/>
      <c r="H87" s="68"/>
    </row>
    <row r="91" spans="2:12" ht="21" customHeight="1" x14ac:dyDescent="0.25"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5"/>
      <c r="D93" s="175"/>
      <c r="E93" s="175"/>
      <c r="F93" s="68"/>
      <c r="G93" s="68"/>
      <c r="H93" s="68"/>
    </row>
    <row r="94" spans="2:12" x14ac:dyDescent="0.25">
      <c r="C94" s="175"/>
      <c r="D94" s="175"/>
      <c r="E94" s="175"/>
      <c r="F94" s="68"/>
      <c r="G94" s="68"/>
      <c r="H94" s="68"/>
    </row>
    <row r="96" spans="2:12" ht="14.65" customHeight="1" x14ac:dyDescent="0.25">
      <c r="C96" s="175"/>
      <c r="D96" s="175"/>
      <c r="E96" s="175"/>
      <c r="F96" s="68"/>
      <c r="G96" s="68"/>
      <c r="H96" s="68"/>
    </row>
    <row r="97" spans="3:11" x14ac:dyDescent="0.25">
      <c r="C97" s="175"/>
      <c r="D97" s="175"/>
      <c r="E97" s="175"/>
      <c r="F97" s="68"/>
      <c r="G97" s="68"/>
      <c r="H97" s="68"/>
    </row>
    <row r="102" spans="3:11" ht="16.149999999999999" customHeight="1" x14ac:dyDescent="0.25">
      <c r="C102" s="176"/>
      <c r="D102" s="176"/>
      <c r="E102" s="176"/>
      <c r="F102" s="176"/>
      <c r="G102" s="176"/>
      <c r="H102" s="176"/>
      <c r="I102" s="176"/>
      <c r="J102" s="176"/>
      <c r="K102" s="176"/>
    </row>
    <row r="103" spans="3:11" ht="16.149999999999999" customHeight="1" x14ac:dyDescent="0.25">
      <c r="C103" s="176"/>
      <c r="D103" s="176"/>
      <c r="E103" s="176"/>
      <c r="F103" s="176"/>
      <c r="G103" s="176"/>
      <c r="H103" s="176"/>
      <c r="I103" s="176"/>
      <c r="J103" s="176"/>
      <c r="K103" s="176"/>
    </row>
    <row r="104" spans="3:11" ht="16.149999999999999" customHeight="1" x14ac:dyDescent="0.25">
      <c r="C104" s="176"/>
      <c r="D104" s="176"/>
      <c r="E104" s="176"/>
      <c r="F104" s="176"/>
      <c r="G104" s="176"/>
      <c r="H104" s="176"/>
      <c r="I104" s="176"/>
      <c r="J104" s="176"/>
      <c r="K104" s="176"/>
    </row>
    <row r="105" spans="3:11" ht="16.149999999999999" customHeight="1" x14ac:dyDescent="0.25">
      <c r="C105" s="176"/>
      <c r="D105" s="176"/>
      <c r="E105" s="176"/>
      <c r="F105" s="176"/>
      <c r="G105" s="176"/>
      <c r="H105" s="176"/>
      <c r="I105" s="176"/>
      <c r="J105" s="176"/>
      <c r="K105" s="176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2026-07-23T09:04:37Z</cp:lastPrinted>
  <dcterms:created xsi:type="dcterms:W3CDTF">2014-05-26T07:40:11Z</dcterms:created>
  <dcterms:modified xsi:type="dcterms:W3CDTF">2026-07-23T09:04:39Z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