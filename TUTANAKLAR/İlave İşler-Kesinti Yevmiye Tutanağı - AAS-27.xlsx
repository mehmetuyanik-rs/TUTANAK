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12FE92D-CDE2-4D99-AF7A-0855D82F888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D7" i="4" l="1"/>
  <c r="E43" i="1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<sst xmlns="http://schemas.openxmlformats.org/spreadsheetml/2006/main" count="107" uniqueCount="89">
  <si>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</si>
  <si>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</si>
  <si>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</si>
  <si>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</si>
  <si>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</si>
  <si>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</si>
  <si>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</si>
  <si>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</si>
  <si>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</si>
  <si>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</si>
  <si>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</si>
  <si>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</si>
  <si>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</si>
  <si>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</si>
  <si>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</si>
  <si>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</si>
  <si>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</si>
  <si>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</si>
  <si>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</si>
  <si>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</si>
  <si>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</si>
  <si>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</si>
  <si>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</si>
  <si>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</si>
  <si>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</si>
  <si>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</si>
  <si>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</si>
  <si>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</si>
  <si>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</si>
  <si>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</si>
  <si>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</si>
  <si>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</si>
  <si>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</si>
  <si>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</si>
  <si>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</si>
  <si>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</si>
  <si>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</si>
  <si>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</si>
  <si>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</si>
  <si>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</si>
  <si>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</si>
  <si>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</si>
  <si>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</si>
  <si>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</si>
  <si>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</si>
  <si>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</si>
  <si>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</si>
  <si>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</si>
  <si>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</si>
  <si>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</si>
  <si>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</si>
  <si>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</si>
  <si>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</si>
  <si>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</si>
  <si>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</si>
  <si>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</si>
  <si>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</si>
  <si>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</si>
  <si>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</si>
  <si>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</si>
  <si>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</si>
  <si>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</si>
  <si>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</si>
  <si>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</si>
  <si>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</si>
  <si>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</si>
  <si>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</si>
  <si>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</si>
  <si>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</si>
  <si>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</si>
  <si>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</si>
  <si>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</si>
  <si>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</si>
  <si>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</si>
  <si>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</si>
  <si>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</si>
  <si>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</si>
  <si>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</si>
  <si>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</si>
  <si>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</si>
  <si>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</si>
  <si>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</si>
  <si>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</si>
  <si>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</si>
  <si>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C3/15.20</t>
  </si>
  <si>
    <t>15.20 kotu C3 Blok genelinde, duvar aplikasyonuna engel teşkil eden kaba imalattan kalan demirler kesilerek imalat için uygun hale getirilmiştir.</t>
  </si>
  <si>
    <t>HASAN KIRAÇ (Usta)</t>
  </si>
  <si>
    <t>MAHMUT TURAN (Usta Yardımcısı)</t>
  </si>
  <si>
    <t>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</si>
</sst>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1238249</xdr:colOff>
      <xdr:row>14</xdr:row>
      <xdr:rowOff>0</xdr:rowOff>
    </xdr:from>
    <xdr:to>
      <xdr:col>9</xdr:col>
      <xdr:colOff>726281</xdr:colOff>
      <xdr:row>62</xdr:row>
      <xdr:rowOff>23812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CFF064DA-F581-40F4-8BDE-1A9A8592C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2062" y="3143250"/>
          <a:ext cx="6750844" cy="1200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view="pageBreakPreview" topLeftCell="A22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66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>
        <v>46016</v>
      </c>
      <c r="E5" s="175"/>
      <c r="F5" s="176"/>
      <c r="G5" s="42"/>
      <c r="H5" s="43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168" t="s">
        <v>88</v>
      </c>
      <c r="E7" s="169"/>
      <c r="F7" s="170"/>
      <c r="G7" s="42"/>
      <c r="H7" s="43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43" t="s">
        <v>36</v>
      </c>
      <c r="I9" s="171" t="s">
        <v>84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4" t="s">
        <v>11</v>
      </c>
      <c r="C12" s="154"/>
      <c r="D12" s="155"/>
      <c r="E12" s="156"/>
      <c r="F12" s="157"/>
      <c r="G12" s="157"/>
      <c r="H12" s="157"/>
      <c r="I12" s="157"/>
      <c r="J12" s="157"/>
      <c r="K12" s="157"/>
      <c r="L12" s="158"/>
      <c r="M12" s="1"/>
    </row>
    <row r="13" spans="2:13" ht="15.75" thickBot="1" x14ac:dyDescent="0.3">
      <c r="B13" s="154"/>
      <c r="C13" s="154"/>
      <c r="D13" s="155"/>
      <c r="E13" s="159"/>
      <c r="F13" s="160"/>
      <c r="G13" s="160"/>
      <c r="H13" s="160"/>
      <c r="I13" s="160"/>
      <c r="J13" s="160"/>
      <c r="K13" s="160"/>
      <c r="L13" s="16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3" t="s">
        <v>17</v>
      </c>
      <c r="C15" s="143"/>
      <c r="D15" s="144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43"/>
      <c r="C16" s="143"/>
      <c r="D16" s="144"/>
      <c r="E16" s="135"/>
      <c r="F16" s="136"/>
      <c r="G16" s="136"/>
      <c r="H16" s="136"/>
      <c r="I16" s="136"/>
      <c r="J16" s="136"/>
      <c r="K16" s="136"/>
      <c r="L16" s="137"/>
      <c r="M16" s="1"/>
    </row>
    <row r="17" spans="2:13" ht="25.9" customHeight="1" x14ac:dyDescent="0.25">
      <c r="B17" s="143"/>
      <c r="C17" s="143"/>
      <c r="D17" s="14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3"/>
      <c r="C18" s="143"/>
      <c r="D18" s="144"/>
      <c r="E18" s="135"/>
      <c r="F18" s="136"/>
      <c r="G18" s="136"/>
      <c r="H18" s="136"/>
      <c r="I18" s="136"/>
      <c r="J18" s="136"/>
      <c r="K18" s="136"/>
      <c r="L18" s="137"/>
      <c r="M18" s="1"/>
    </row>
    <row r="19" spans="2:13" ht="25.9" customHeight="1" thickBot="1" x14ac:dyDescent="0.3">
      <c r="B19" s="143"/>
      <c r="C19" s="143"/>
      <c r="D19" s="144"/>
      <c r="E19" s="35"/>
      <c r="F19" s="36" t="s">
        <v>16</v>
      </c>
      <c r="G19" s="36"/>
      <c r="H19" s="36"/>
      <c r="I19" s="145"/>
      <c r="J19" s="146"/>
      <c r="K19" s="147"/>
      <c r="L19" s="38"/>
      <c r="M19" s="1"/>
    </row>
    <row r="20" spans="2:13" ht="4.1500000000000004" customHeight="1" thickBot="1" x14ac:dyDescent="0.3">
      <c r="B20" s="143"/>
      <c r="C20" s="143"/>
      <c r="D20" s="144"/>
      <c r="E20" s="135"/>
      <c r="F20" s="136"/>
      <c r="G20" s="136"/>
      <c r="H20" s="136"/>
      <c r="I20" s="136"/>
      <c r="J20" s="136"/>
      <c r="K20" s="136"/>
      <c r="L20" s="137"/>
      <c r="M20" s="1"/>
    </row>
    <row r="21" spans="2:13" ht="25.9" customHeight="1" thickBot="1" x14ac:dyDescent="0.3">
      <c r="B21" s="143"/>
      <c r="C21" s="143"/>
      <c r="D21" s="144"/>
      <c r="E21" s="35"/>
      <c r="F21" s="36" t="s">
        <v>7</v>
      </c>
      <c r="G21" s="36"/>
      <c r="H21" s="36"/>
      <c r="I21" s="145"/>
      <c r="J21" s="146"/>
      <c r="K21" s="147"/>
      <c r="L21" s="38"/>
      <c r="M21" s="1"/>
    </row>
    <row r="22" spans="2:13" ht="4.1500000000000004" customHeight="1" thickBot="1" x14ac:dyDescent="0.3">
      <c r="B22" s="143"/>
      <c r="C22" s="143"/>
      <c r="D22" s="144"/>
      <c r="E22" s="135"/>
      <c r="F22" s="136"/>
      <c r="G22" s="136"/>
      <c r="H22" s="136"/>
      <c r="I22" s="136"/>
      <c r="J22" s="136"/>
      <c r="K22" s="136"/>
      <c r="L22" s="137"/>
      <c r="M22" s="1"/>
    </row>
    <row r="23" spans="2:13" ht="25.9" customHeight="1" thickBot="1" x14ac:dyDescent="0.3">
      <c r="B23" s="143"/>
      <c r="C23" s="143"/>
      <c r="D23" s="144"/>
      <c r="E23" s="35"/>
      <c r="F23" s="140" t="s">
        <v>26</v>
      </c>
      <c r="G23" s="140"/>
      <c r="H23" s="141"/>
      <c r="I23" s="145"/>
      <c r="J23" s="146"/>
      <c r="K23" s="147"/>
      <c r="L23" s="38"/>
      <c r="M23" s="1"/>
    </row>
    <row r="24" spans="2:13" ht="4.1500000000000004" customHeight="1" x14ac:dyDescent="0.25">
      <c r="B24" s="143"/>
      <c r="C24" s="143"/>
      <c r="D24" s="144"/>
      <c r="E24" s="135"/>
      <c r="F24" s="136"/>
      <c r="G24" s="136"/>
      <c r="H24" s="136"/>
      <c r="I24" s="136"/>
      <c r="J24" s="136"/>
      <c r="K24" s="136"/>
      <c r="L24" s="137"/>
      <c r="M24" s="1"/>
    </row>
    <row r="25" spans="2:13" ht="25.9" customHeight="1" thickBot="1" x14ac:dyDescent="0.3">
      <c r="B25" s="143"/>
      <c r="C25" s="143"/>
      <c r="D25" s="144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46"/>
      <c r="F26" s="146"/>
      <c r="G26" s="146"/>
      <c r="H26" s="146"/>
      <c r="I26" s="146"/>
      <c r="J26" s="146"/>
      <c r="K26" s="146"/>
      <c r="L26" s="146"/>
      <c r="M26" s="1"/>
    </row>
    <row r="27" spans="2:13" x14ac:dyDescent="0.25">
      <c r="B27" s="143" t="s">
        <v>23</v>
      </c>
      <c r="C27" s="143"/>
      <c r="D27" s="14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3"/>
      <c r="C28" s="143"/>
      <c r="D28" s="144"/>
      <c r="E28" s="148" t="s">
        <v>85</v>
      </c>
      <c r="F28" s="149"/>
      <c r="G28" s="149"/>
      <c r="H28" s="149"/>
      <c r="I28" s="149"/>
      <c r="J28" s="149"/>
      <c r="K28" s="149"/>
      <c r="L28" s="150"/>
      <c r="M28" s="1"/>
    </row>
    <row r="29" spans="2:13" x14ac:dyDescent="0.25">
      <c r="B29" s="143"/>
      <c r="C29" s="143"/>
      <c r="D29" s="144"/>
      <c r="E29" s="148"/>
      <c r="F29" s="149"/>
      <c r="G29" s="149"/>
      <c r="H29" s="149"/>
      <c r="I29" s="149"/>
      <c r="J29" s="149"/>
      <c r="K29" s="149"/>
      <c r="L29" s="150"/>
      <c r="M29" s="1"/>
    </row>
    <row r="30" spans="2:13" x14ac:dyDescent="0.25">
      <c r="B30" s="143"/>
      <c r="C30" s="143"/>
      <c r="D30" s="144"/>
      <c r="E30" s="148"/>
      <c r="F30" s="149"/>
      <c r="G30" s="149"/>
      <c r="H30" s="149"/>
      <c r="I30" s="149"/>
      <c r="J30" s="149"/>
      <c r="K30" s="149"/>
      <c r="L30" s="150"/>
      <c r="M30" s="1"/>
    </row>
    <row r="31" spans="2:13" ht="15.75" thickBot="1" x14ac:dyDescent="0.3">
      <c r="B31" s="143"/>
      <c r="C31" s="143"/>
      <c r="D31" s="144"/>
      <c r="E31" s="151"/>
      <c r="F31" s="152"/>
      <c r="G31" s="152"/>
      <c r="H31" s="152"/>
      <c r="I31" s="152"/>
      <c r="J31" s="152"/>
      <c r="K31" s="152"/>
      <c r="L31" s="153"/>
      <c r="M31" s="1"/>
    </row>
    <row r="32" spans="2:13" x14ac:dyDescent="0.25">
      <c r="B32" s="143"/>
      <c r="C32" s="143"/>
      <c r="D32" s="14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3"/>
      <c r="C33" s="143"/>
      <c r="D33" s="14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3"/>
      <c r="C34" s="143"/>
      <c r="D34" s="14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3"/>
      <c r="C35" s="143"/>
      <c r="D35" s="14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3"/>
      <c r="C36" s="143"/>
      <c r="D36" s="14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3" t="s">
        <v>12</v>
      </c>
      <c r="C38" s="164"/>
      <c r="D38" s="124" t="s">
        <v>13</v>
      </c>
      <c r="E38" s="126"/>
      <c r="F38" s="12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65"/>
      <c r="C39" s="166"/>
      <c r="D39" s="127"/>
      <c r="E39" s="129"/>
      <c r="F39" s="127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2"/>
      <c r="I41" s="142"/>
      <c r="J41" s="142"/>
      <c r="K41" s="142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9" t="s">
        <v>4</v>
      </c>
      <c r="I42" s="139"/>
      <c r="J42" s="139" t="s">
        <v>5</v>
      </c>
      <c r="K42" s="139"/>
      <c r="L42" s="162"/>
    </row>
    <row r="43" spans="2:13" ht="25.15" customHeight="1" x14ac:dyDescent="0.25">
      <c r="B43" s="2">
        <v>1</v>
      </c>
      <c r="C43" s="178" t="s">
        <v>86</v>
      </c>
      <c r="D43" s="179"/>
      <c r="E43" s="60">
        <f>D$5</f>
        <v>46016</v>
      </c>
      <c r="F43" s="48" t="s">
        <v>82</v>
      </c>
      <c r="G43" s="48">
        <v>1</v>
      </c>
      <c r="H43" s="138"/>
      <c r="I43" s="138"/>
      <c r="J43" s="130">
        <f>+H43*G43</f>
        <v>0</v>
      </c>
      <c r="K43" s="131"/>
      <c r="L43" s="132"/>
    </row>
    <row r="44" spans="2:13" ht="25.15" customHeight="1" x14ac:dyDescent="0.25">
      <c r="B44" s="2">
        <v>2</v>
      </c>
      <c r="C44" s="133" t="s">
        <v>87</v>
      </c>
      <c r="D44" s="134"/>
      <c r="E44" s="60">
        <f>D$5</f>
        <v>46016</v>
      </c>
      <c r="F44" s="84" t="s">
        <v>82</v>
      </c>
      <c r="G44" s="84">
        <v>1</v>
      </c>
      <c r="H44" s="138"/>
      <c r="I44" s="138"/>
      <c r="J44" s="130">
        <f t="shared" ref="J44:J55" si="0">+H44*G44</f>
        <v>0</v>
      </c>
      <c r="K44" s="131"/>
      <c r="L44" s="132"/>
    </row>
    <row r="45" spans="2:13" ht="25.15" customHeight="1" x14ac:dyDescent="0.25">
      <c r="B45" s="2">
        <v>3</v>
      </c>
      <c r="C45" s="133"/>
      <c r="D45" s="134"/>
      <c r="E45" s="60"/>
      <c r="F45" s="82"/>
      <c r="G45" s="82"/>
      <c r="H45" s="138"/>
      <c r="I45" s="138"/>
      <c r="J45" s="130">
        <f t="shared" si="0"/>
        <v>0</v>
      </c>
      <c r="K45" s="131"/>
      <c r="L45" s="132"/>
    </row>
    <row r="46" spans="2:13" ht="25.15" customHeight="1" x14ac:dyDescent="0.25">
      <c r="B46" s="2">
        <v>4</v>
      </c>
      <c r="C46" s="133"/>
      <c r="D46" s="134"/>
      <c r="E46" s="60"/>
      <c r="F46" s="82"/>
      <c r="G46" s="82"/>
      <c r="H46" s="130"/>
      <c r="I46" s="131"/>
      <c r="J46" s="130">
        <f t="shared" si="0"/>
        <v>0</v>
      </c>
      <c r="K46" s="131"/>
      <c r="L46" s="132"/>
    </row>
    <row r="47" spans="2:13" ht="25.15" customHeight="1" thickBot="1" x14ac:dyDescent="0.3">
      <c r="B47" s="2">
        <v>5</v>
      </c>
      <c r="C47" s="177"/>
      <c r="D47" s="131"/>
      <c r="E47" s="60"/>
      <c r="F47" s="82"/>
      <c r="G47" s="82"/>
      <c r="H47" s="130"/>
      <c r="I47" s="131"/>
      <c r="J47" s="130">
        <f t="shared" si="0"/>
        <v>0</v>
      </c>
      <c r="K47" s="131"/>
      <c r="L47" s="132"/>
    </row>
    <row r="48" spans="2:13" ht="25.15" customHeight="1" thickBot="1" x14ac:dyDescent="0.3">
      <c r="B48" s="123" t="s">
        <v>74</v>
      </c>
      <c r="C48" s="123"/>
      <c r="D48" s="123"/>
      <c r="E48" s="123"/>
      <c r="F48" s="123"/>
      <c r="G48" s="123"/>
      <c r="H48" s="123"/>
      <c r="I48" s="123"/>
      <c r="J48" s="118">
        <f>+SUM(J43:L47)</f>
        <v>0</v>
      </c>
      <c r="K48" s="119"/>
      <c r="L48" s="120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2"/>
      <c r="I49" s="142"/>
      <c r="J49" s="142"/>
      <c r="K49" s="142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9" t="s">
        <v>4</v>
      </c>
      <c r="I50" s="139"/>
      <c r="J50" s="139" t="s">
        <v>5</v>
      </c>
      <c r="K50" s="139"/>
      <c r="L50" s="162"/>
    </row>
    <row r="51" spans="2:12" ht="25.15" customHeight="1" x14ac:dyDescent="0.25">
      <c r="B51" s="2">
        <v>1</v>
      </c>
      <c r="C51" s="177"/>
      <c r="D51" s="131"/>
      <c r="E51" s="60"/>
      <c r="F51" s="78"/>
      <c r="G51" s="48"/>
      <c r="H51" s="130"/>
      <c r="I51" s="131"/>
      <c r="J51" s="130">
        <f t="shared" si="0"/>
        <v>0</v>
      </c>
      <c r="K51" s="131"/>
      <c r="L51" s="132"/>
    </row>
    <row r="52" spans="2:12" ht="25.15" customHeight="1" x14ac:dyDescent="0.25">
      <c r="B52" s="2">
        <v>2</v>
      </c>
      <c r="C52" s="177"/>
      <c r="D52" s="131"/>
      <c r="E52" s="60"/>
      <c r="F52" s="83"/>
      <c r="G52" s="83"/>
      <c r="H52" s="130"/>
      <c r="I52" s="131"/>
      <c r="J52" s="130">
        <f t="shared" si="0"/>
        <v>0</v>
      </c>
      <c r="K52" s="131"/>
      <c r="L52" s="132"/>
    </row>
    <row r="53" spans="2:12" ht="25.15" customHeight="1" x14ac:dyDescent="0.25">
      <c r="B53" s="2">
        <v>3</v>
      </c>
      <c r="C53" s="177"/>
      <c r="D53" s="131"/>
      <c r="E53" s="60"/>
      <c r="F53" s="48"/>
      <c r="G53" s="48"/>
      <c r="H53" s="130"/>
      <c r="I53" s="131"/>
      <c r="J53" s="130">
        <f t="shared" si="0"/>
        <v>0</v>
      </c>
      <c r="K53" s="131"/>
      <c r="L53" s="132"/>
    </row>
    <row r="54" spans="2:12" ht="25.15" customHeight="1" x14ac:dyDescent="0.25">
      <c r="B54" s="2">
        <v>4</v>
      </c>
      <c r="C54" s="177"/>
      <c r="D54" s="131"/>
      <c r="E54" s="60"/>
      <c r="F54" s="81"/>
      <c r="G54" s="48"/>
      <c r="H54" s="130"/>
      <c r="I54" s="131"/>
      <c r="J54" s="130">
        <f t="shared" si="0"/>
        <v>0</v>
      </c>
      <c r="K54" s="131"/>
      <c r="L54" s="132"/>
    </row>
    <row r="55" spans="2:12" ht="25.15" customHeight="1" thickBot="1" x14ac:dyDescent="0.3">
      <c r="B55" s="2">
        <v>5</v>
      </c>
      <c r="C55" s="177"/>
      <c r="D55" s="131"/>
      <c r="E55" s="47"/>
      <c r="F55" s="48"/>
      <c r="G55" s="48"/>
      <c r="H55" s="130"/>
      <c r="I55" s="131"/>
      <c r="J55" s="130">
        <f t="shared" si="0"/>
        <v>0</v>
      </c>
      <c r="K55" s="131"/>
      <c r="L55" s="132"/>
    </row>
    <row r="56" spans="2:12" ht="25.15" customHeight="1" thickBot="1" x14ac:dyDescent="0.3">
      <c r="B56" s="123" t="s">
        <v>74</v>
      </c>
      <c r="C56" s="123"/>
      <c r="D56" s="123"/>
      <c r="E56" s="123"/>
      <c r="F56" s="123"/>
      <c r="G56" s="123"/>
      <c r="H56" s="123"/>
      <c r="I56" s="123"/>
      <c r="J56" s="118">
        <f>+SUM(J51:L55)</f>
        <v>0</v>
      </c>
      <c r="K56" s="119"/>
      <c r="L56" s="120"/>
    </row>
    <row r="57" spans="2:12" ht="25.15" customHeight="1" thickBot="1" x14ac:dyDescent="0.3">
      <c r="B57" s="123" t="s">
        <v>6</v>
      </c>
      <c r="C57" s="123"/>
      <c r="D57" s="123"/>
      <c r="E57" s="123"/>
      <c r="F57" s="123"/>
      <c r="G57" s="123"/>
      <c r="H57" s="123"/>
      <c r="I57" s="123"/>
      <c r="J57" s="118">
        <f>+J56+J48</f>
        <v>0</v>
      </c>
      <c r="K57" s="119"/>
      <c r="L57" s="120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7"/>
      <c r="I58" s="117"/>
      <c r="J58" s="121"/>
      <c r="K58" s="122"/>
      <c r="L58" s="122"/>
    </row>
    <row r="59" spans="2:12" ht="21" customHeight="1" x14ac:dyDescent="0.25">
      <c r="B59" s="94" t="s">
        <v>15</v>
      </c>
      <c r="C59" s="92"/>
      <c r="D59" s="92"/>
      <c r="E59" s="93"/>
      <c r="F59" s="92" t="s">
        <v>14</v>
      </c>
      <c r="G59" s="92"/>
      <c r="H59" s="93"/>
      <c r="I59" s="94" t="s">
        <v>22</v>
      </c>
      <c r="J59" s="92"/>
      <c r="K59" s="92"/>
      <c r="L59" s="101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5" t="s">
        <v>29</v>
      </c>
      <c r="G61" s="96"/>
      <c r="H61" s="9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8"/>
      <c r="G62" s="96"/>
      <c r="H62" s="9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5"/>
      <c r="G63" s="96"/>
      <c r="H63" s="9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8"/>
      <c r="G64" s="96"/>
      <c r="H64" s="9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2"/>
      <c r="D70" s="92"/>
      <c r="E70" s="93"/>
      <c r="F70" s="92" t="s">
        <v>68</v>
      </c>
      <c r="G70" s="92"/>
      <c r="H70" s="93"/>
      <c r="I70" s="94" t="s">
        <v>31</v>
      </c>
      <c r="J70" s="92"/>
      <c r="K70" s="92"/>
      <c r="L70" s="101"/>
    </row>
    <row r="71" spans="2:12" ht="19.899999999999999" customHeight="1" x14ac:dyDescent="0.25">
      <c r="B71" s="86"/>
      <c r="C71" s="87"/>
      <c r="D71" s="87"/>
      <c r="E71" s="88"/>
      <c r="F71" s="102" t="s">
        <v>75</v>
      </c>
      <c r="G71" s="103"/>
      <c r="H71" s="104"/>
      <c r="I71" s="108" t="s">
        <v>25</v>
      </c>
      <c r="J71" s="109"/>
      <c r="K71" s="109"/>
      <c r="L71" s="110"/>
    </row>
    <row r="72" spans="2:12" ht="19.899999999999999" customHeight="1" x14ac:dyDescent="0.25">
      <c r="B72" s="89"/>
      <c r="C72" s="90"/>
      <c r="D72" s="90"/>
      <c r="E72" s="91"/>
      <c r="F72" s="105"/>
      <c r="G72" s="106"/>
      <c r="H72" s="107"/>
      <c r="I72" s="111"/>
      <c r="J72" s="112"/>
      <c r="K72" s="112"/>
      <c r="L72" s="113"/>
    </row>
    <row r="73" spans="2:12" ht="19.899999999999999" customHeight="1" x14ac:dyDescent="0.25">
      <c r="B73" s="89"/>
      <c r="C73" s="90"/>
      <c r="D73" s="90"/>
      <c r="E73" s="91"/>
      <c r="F73" s="105"/>
      <c r="G73" s="106"/>
      <c r="H73" s="107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4"/>
      <c r="J74" s="115"/>
      <c r="K74" s="115"/>
      <c r="L74" s="116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4"/>
      <c r="J75" s="115"/>
      <c r="K75" s="115"/>
      <c r="L75" s="116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4" t="s">
        <v>24</v>
      </c>
      <c r="C81" s="92"/>
      <c r="D81" s="92"/>
      <c r="E81" s="93"/>
      <c r="F81" s="92" t="s">
        <v>64</v>
      </c>
      <c r="G81" s="92"/>
      <c r="H81" s="93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9" t="s">
        <v>62</v>
      </c>
      <c r="D83" s="99"/>
      <c r="E83" s="100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9"/>
      <c r="D84" s="99"/>
      <c r="E84" s="100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9"/>
      <c r="D86" s="99"/>
      <c r="E86" s="100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9"/>
      <c r="D87" s="99"/>
      <c r="E87" s="100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4" t="s">
        <v>57</v>
      </c>
      <c r="C91" s="92"/>
      <c r="D91" s="92"/>
      <c r="E91" s="93"/>
      <c r="F91" s="92" t="s">
        <v>32</v>
      </c>
      <c r="G91" s="92"/>
      <c r="H91" s="93"/>
      <c r="I91" s="94" t="s">
        <v>28</v>
      </c>
      <c r="J91" s="92"/>
      <c r="K91" s="92"/>
      <c r="L91" s="101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9"/>
      <c r="D93" s="99"/>
      <c r="E93" s="100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9"/>
      <c r="D94" s="99"/>
      <c r="E94" s="100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9"/>
      <c r="D96" s="99"/>
      <c r="E96" s="100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9"/>
      <c r="D97" s="99"/>
      <c r="E97" s="100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5" t="s">
        <v>73</v>
      </c>
      <c r="D102" s="85"/>
      <c r="E102" s="85"/>
      <c r="F102" s="85"/>
      <c r="G102" s="85"/>
      <c r="H102" s="85"/>
      <c r="I102" s="85"/>
      <c r="J102" s="85"/>
      <c r="K102" s="85"/>
      <c r="L102" s="4"/>
    </row>
    <row r="103" spans="2:12" ht="16.149999999999999" customHeight="1" x14ac:dyDescent="0.25">
      <c r="B103" s="4"/>
      <c r="C103" s="85"/>
      <c r="D103" s="85"/>
      <c r="E103" s="85"/>
      <c r="F103" s="85"/>
      <c r="G103" s="85"/>
      <c r="H103" s="85"/>
      <c r="I103" s="85"/>
      <c r="J103" s="85"/>
      <c r="K103" s="85"/>
      <c r="L103" s="4"/>
    </row>
    <row r="104" spans="2:12" ht="16.149999999999999" customHeight="1" x14ac:dyDescent="0.25">
      <c r="B104" s="4"/>
      <c r="C104" s="85"/>
      <c r="D104" s="85"/>
      <c r="E104" s="85"/>
      <c r="F104" s="85"/>
      <c r="G104" s="85"/>
      <c r="H104" s="85"/>
      <c r="I104" s="85"/>
      <c r="J104" s="85"/>
      <c r="K104" s="85"/>
      <c r="L104" s="4"/>
    </row>
    <row r="105" spans="2:12" ht="16.149999999999999" customHeight="1" x14ac:dyDescent="0.25">
      <c r="B105" s="4"/>
      <c r="C105" s="85"/>
      <c r="D105" s="85"/>
      <c r="E105" s="85"/>
      <c r="F105" s="85"/>
      <c r="G105" s="85"/>
      <c r="H105" s="85"/>
      <c r="I105" s="85"/>
      <c r="J105" s="85"/>
      <c r="K105" s="8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tabSelected="1" view="pageBreakPreview" zoomScale="40" zoomScaleNormal="70" zoomScaleSheetLayoutView="40" workbookViewId="0">
      <selection activeCell="I21" sqref="I21:K2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83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>
        <f>'İLAVE İS TUT.'!D5</f>
        <v>46016</v>
      </c>
      <c r="E5" s="175"/>
      <c r="F5" s="176"/>
      <c r="G5" s="42"/>
      <c r="H5" s="59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205" t="str">
        <f>'İLAVE İS TUT.'!D7</f>
        <v>027</v>
      </c>
      <c r="E7" s="206"/>
      <c r="F7" s="207"/>
      <c r="G7" s="42"/>
      <c r="H7" s="59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59" t="s">
        <v>36</v>
      </c>
      <c r="I9" s="171" t="str">
        <f>'İLAVE İS TUT.'!I9</f>
        <v>C3/15.20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0"/>
      <c r="C15" s="200"/>
      <c r="D15" s="200"/>
      <c r="E15" s="61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1"/>
      <c r="F19" s="61"/>
      <c r="G19" s="61"/>
      <c r="H19" s="61"/>
      <c r="I19" s="199"/>
      <c r="J19" s="199"/>
      <c r="K19" s="199"/>
      <c r="L19" s="61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1"/>
      <c r="F21" s="61"/>
      <c r="G21" s="61"/>
      <c r="H21" s="61"/>
      <c r="I21" s="199"/>
      <c r="J21" s="199"/>
      <c r="K21" s="199"/>
      <c r="L21" s="61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1"/>
      <c r="F23" s="201"/>
      <c r="G23" s="201"/>
      <c r="H23" s="201"/>
      <c r="I23" s="199"/>
      <c r="J23" s="199"/>
      <c r="K23" s="199"/>
      <c r="L23" s="61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1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3"/>
      <c r="C26" s="63"/>
      <c r="D26" s="63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0"/>
      <c r="C33" s="200"/>
      <c r="D33" s="200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0"/>
      <c r="C34" s="200"/>
      <c r="D34" s="200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0"/>
      <c r="C35" s="200"/>
      <c r="D35" s="200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0"/>
      <c r="C36" s="200"/>
      <c r="D36" s="200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6"/>
      <c r="I41" s="196"/>
      <c r="J41" s="196"/>
      <c r="K41" s="196"/>
      <c r="L41" s="196"/>
    </row>
    <row r="42" spans="2:13" ht="25.15" customHeight="1" x14ac:dyDescent="0.25">
      <c r="B42" s="79"/>
      <c r="C42" s="68"/>
      <c r="D42" s="79"/>
      <c r="E42" s="79"/>
      <c r="F42" s="79"/>
      <c r="G42" s="79"/>
      <c r="H42" s="196"/>
      <c r="I42" s="196"/>
      <c r="J42" s="196"/>
      <c r="K42" s="196"/>
      <c r="L42" s="196"/>
    </row>
    <row r="43" spans="2:13" ht="25.15" customHeight="1" x14ac:dyDescent="0.25">
      <c r="B43" s="69"/>
      <c r="C43" s="191"/>
      <c r="D43" s="191"/>
      <c r="E43" s="70"/>
      <c r="F43" s="80"/>
      <c r="G43" s="80"/>
      <c r="H43" s="197"/>
      <c r="I43" s="197"/>
      <c r="J43" s="192"/>
      <c r="K43" s="191"/>
      <c r="L43" s="191"/>
    </row>
    <row r="44" spans="2:13" ht="25.15" customHeight="1" x14ac:dyDescent="0.25">
      <c r="B44" s="69"/>
      <c r="C44" s="191"/>
      <c r="D44" s="191"/>
      <c r="E44" s="71"/>
      <c r="F44" s="80"/>
      <c r="G44" s="80"/>
      <c r="H44" s="197"/>
      <c r="I44" s="197"/>
      <c r="J44" s="192"/>
      <c r="K44" s="191"/>
      <c r="L44" s="191"/>
    </row>
    <row r="45" spans="2:13" ht="25.15" customHeight="1" x14ac:dyDescent="0.25">
      <c r="B45" s="69"/>
      <c r="C45" s="191"/>
      <c r="D45" s="191"/>
      <c r="E45" s="71"/>
      <c r="F45" s="80"/>
      <c r="G45" s="80"/>
      <c r="H45" s="197"/>
      <c r="I45" s="197"/>
      <c r="J45" s="192"/>
      <c r="K45" s="191"/>
      <c r="L45" s="191"/>
    </row>
    <row r="46" spans="2:13" ht="25.15" customHeight="1" x14ac:dyDescent="0.25">
      <c r="B46" s="69"/>
      <c r="C46" s="191"/>
      <c r="D46" s="191"/>
      <c r="E46" s="72"/>
      <c r="F46" s="80"/>
      <c r="G46" s="80"/>
      <c r="H46" s="192"/>
      <c r="I46" s="191"/>
      <c r="J46" s="192"/>
      <c r="K46" s="191"/>
      <c r="L46" s="191"/>
    </row>
    <row r="47" spans="2:13" ht="25.15" customHeight="1" x14ac:dyDescent="0.25">
      <c r="B47" s="69"/>
      <c r="C47" s="191"/>
      <c r="D47" s="191"/>
      <c r="E47" s="71"/>
      <c r="F47" s="80"/>
      <c r="G47" s="80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79"/>
      <c r="C49" s="68"/>
      <c r="D49" s="79"/>
      <c r="E49" s="79"/>
      <c r="F49" s="79"/>
      <c r="G49" s="79"/>
      <c r="H49" s="196"/>
      <c r="I49" s="196"/>
      <c r="J49" s="196"/>
      <c r="K49" s="196"/>
      <c r="L49" s="196"/>
    </row>
    <row r="50" spans="2:12" ht="25.15" customHeight="1" x14ac:dyDescent="0.25">
      <c r="B50" s="79"/>
      <c r="C50" s="68"/>
      <c r="D50" s="79"/>
      <c r="E50" s="79"/>
      <c r="F50" s="79"/>
      <c r="G50" s="79"/>
      <c r="H50" s="196"/>
      <c r="I50" s="196"/>
      <c r="J50" s="196"/>
      <c r="K50" s="196"/>
      <c r="L50" s="196"/>
    </row>
    <row r="51" spans="2:12" ht="25.15" customHeight="1" x14ac:dyDescent="0.25">
      <c r="B51" s="69"/>
      <c r="C51" s="191"/>
      <c r="D51" s="191"/>
      <c r="E51" s="71"/>
      <c r="F51" s="80"/>
      <c r="G51" s="80"/>
      <c r="H51" s="192"/>
      <c r="I51" s="191"/>
      <c r="J51" s="192"/>
      <c r="K51" s="191"/>
      <c r="L51" s="191"/>
    </row>
    <row r="52" spans="2:12" ht="25.15" customHeight="1" x14ac:dyDescent="0.25">
      <c r="B52" s="69"/>
      <c r="C52" s="191"/>
      <c r="D52" s="191"/>
      <c r="E52" s="71"/>
      <c r="F52" s="80"/>
      <c r="G52" s="80"/>
      <c r="H52" s="192"/>
      <c r="I52" s="191"/>
      <c r="J52" s="192"/>
      <c r="K52" s="191"/>
      <c r="L52" s="191"/>
    </row>
    <row r="53" spans="2:12" ht="25.15" customHeight="1" x14ac:dyDescent="0.25">
      <c r="B53" s="69"/>
      <c r="C53" s="191"/>
      <c r="D53" s="191"/>
      <c r="E53" s="71"/>
      <c r="F53" s="80"/>
      <c r="G53" s="80"/>
      <c r="H53" s="192"/>
      <c r="I53" s="191"/>
      <c r="J53" s="192"/>
      <c r="K53" s="191"/>
      <c r="L53" s="191"/>
    </row>
    <row r="54" spans="2:12" ht="25.15" customHeight="1" x14ac:dyDescent="0.25">
      <c r="B54" s="69"/>
      <c r="C54" s="191"/>
      <c r="D54" s="191"/>
      <c r="E54" s="71"/>
      <c r="F54" s="80"/>
      <c r="G54" s="80"/>
      <c r="H54" s="192"/>
      <c r="I54" s="191"/>
      <c r="J54" s="192"/>
      <c r="K54" s="191"/>
      <c r="L54" s="191"/>
    </row>
    <row r="55" spans="2:12" ht="25.15" customHeight="1" x14ac:dyDescent="0.25">
      <c r="B55" s="69"/>
      <c r="C55" s="191"/>
      <c r="D55" s="191"/>
      <c r="E55" s="71"/>
      <c r="F55" s="80"/>
      <c r="G55" s="80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6"/>
      <c r="G61" s="187"/>
      <c r="H61" s="187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7"/>
      <c r="G62" s="187"/>
      <c r="H62" s="187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6"/>
      <c r="G63" s="187"/>
      <c r="H63" s="187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7"/>
      <c r="G64" s="187"/>
      <c r="H64" s="187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4"/>
      <c r="J74" s="184"/>
      <c r="K74" s="184"/>
      <c r="L74" s="184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4"/>
      <c r="J75" s="184"/>
      <c r="K75" s="184"/>
      <c r="L75" s="184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2"/>
      <c r="D83" s="182"/>
      <c r="E83" s="182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2"/>
      <c r="D84" s="182"/>
      <c r="E84" s="182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2"/>
      <c r="D86" s="182"/>
      <c r="E86" s="182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2"/>
      <c r="D87" s="182"/>
      <c r="E87" s="182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2"/>
      <c r="D93" s="182"/>
      <c r="E93" s="182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2"/>
      <c r="D94" s="182"/>
      <c r="E94" s="182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2"/>
      <c r="D96" s="182"/>
      <c r="E96" s="182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2"/>
      <c r="D97" s="182"/>
      <c r="E97" s="182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3"/>
      <c r="D102" s="183"/>
      <c r="E102" s="183"/>
      <c r="F102" s="183"/>
      <c r="G102" s="183"/>
      <c r="H102" s="183"/>
      <c r="I102" s="183"/>
      <c r="J102" s="183"/>
      <c r="K102" s="183"/>
      <c r="L102" s="73"/>
    </row>
    <row r="103" spans="2:12" ht="16.149999999999999" customHeight="1" x14ac:dyDescent="0.25">
      <c r="B103" s="73"/>
      <c r="C103" s="183"/>
      <c r="D103" s="183"/>
      <c r="E103" s="183"/>
      <c r="F103" s="183"/>
      <c r="G103" s="183"/>
      <c r="H103" s="183"/>
      <c r="I103" s="183"/>
      <c r="J103" s="183"/>
      <c r="K103" s="183"/>
      <c r="L103" s="73"/>
    </row>
    <row r="104" spans="2:12" ht="16.149999999999999" customHeight="1" x14ac:dyDescent="0.25">
      <c r="B104" s="73"/>
      <c r="C104" s="183"/>
      <c r="D104" s="183"/>
      <c r="E104" s="183"/>
      <c r="F104" s="183"/>
      <c r="G104" s="183"/>
      <c r="H104" s="183"/>
      <c r="I104" s="183"/>
      <c r="J104" s="183"/>
      <c r="K104" s="183"/>
      <c r="L104" s="73"/>
    </row>
    <row r="105" spans="2:12" ht="16.149999999999999" customHeight="1" x14ac:dyDescent="0.25">
      <c r="B105" s="73"/>
      <c r="C105" s="183"/>
      <c r="D105" s="183"/>
      <c r="E105" s="183"/>
      <c r="F105" s="183"/>
      <c r="G105" s="183"/>
      <c r="H105" s="183"/>
      <c r="I105" s="183"/>
      <c r="J105" s="183"/>
      <c r="K105" s="183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2025-12-30T06:20:20Z</cp:lastPrinted>
  <dcterms:created xsi:type="dcterms:W3CDTF">2014-05-26T07:40:11Z</dcterms:created>
  <dcterms:modified xsi:type="dcterms:W3CDTF">2025-12-30T06:20:23Z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