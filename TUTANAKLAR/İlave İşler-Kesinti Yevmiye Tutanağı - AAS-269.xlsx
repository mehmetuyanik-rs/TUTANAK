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E9E3332-C388-4AD8-96D5-0DE409AD269C}" xr6:coauthVersionLast="47" xr6:coauthVersionMax="47" xr10:uidLastSave="{00000000-0000-0000-0000-000000000000}"/>
  <bookViews>
    <workbookView xWindow="29265" yWindow="-450" windowWidth="1537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J47" i="1"/>
  <c r="J48" i="1"/>
  <c r="J49" i="1"/>
  <c r="D5" i="4"/>
  <c r="E44" i="1" l="1"/>
  <c r="E43" i="1"/>
  <c r="J51" i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<sst xmlns="http://schemas.openxmlformats.org/spreadsheetml/2006/main" count="112" uniqueCount="92">
  <si>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</si>
  <si>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</si>
  <si>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</si>
  <si>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</si>
  <si>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</si>
  <si>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</si>
  <si>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</si>
  <si>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</si>
  <si>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</si>
  <si>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</si>
  <si>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</si>
  <si>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</si>
  <si>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</si>
  <si>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</si>
  <si>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</si>
  <si>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</si>
  <si>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</si>
  <si>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</si>
  <si>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</si>
  <si>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</si>
  <si>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</si>
  <si>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</si>
  <si>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</si>
  <si>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</si>
  <si>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</si>
  <si>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</si>
  <si>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</si>
  <si>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</si>
  <si>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</si>
  <si>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</si>
  <si>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</si>
  <si>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</si>
  <si>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</si>
  <si>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</si>
  <si>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</si>
  <si>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</si>
  <si>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</si>
  <si>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</si>
  <si>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</si>
  <si>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</si>
  <si>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</si>
  <si>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</si>
  <si>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</si>
  <si>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</si>
  <si>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</si>
  <si>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</si>
  <si>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</si>
  <si>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</si>
  <si>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</si>
  <si>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</si>
  <si>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</si>
  <si>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</si>
  <si>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</si>
  <si>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</si>
  <si>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</si>
  <si>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</si>
  <si>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</si>
  <si>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</si>
  <si>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</si>
  <si>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</si>
  <si>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</si>
  <si>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</si>
  <si>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</si>
  <si>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</si>
  <si>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</si>
  <si>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</si>
  <si>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</si>
  <si>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</si>
  <si>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</si>
  <si>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</si>
  <si>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</si>
  <si>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</si>
  <si>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</si>
  <si>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</si>
  <si>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</si>
  <si>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</si>
  <si>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</si>
  <si>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</si>
  <si>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</si>
  <si>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</si>
  <si>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</si>
  <si>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</si>
  <si>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</si>
  <si>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</si>
  <si>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</si>
  <si>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269</t>
  </si>
  <si>
    <t>C3 / 0.20 / C-Z-311 , C-Z-319</t>
  </si>
  <si>
    <t>C3 Blok 0.20 kotunda, kısıtlı koridorlarda yapılan çalışmalar sırasında metal asma tavana zarar verilmiş, tavan plakaları açılmış ve taşıyıcı aksı kaydırılmıştır. Oluşan hasar ve deformasyonlar giderilmiştir.</t>
  </si>
  <si>
    <t>HİMMET ÖZTÜRK (USTA)</t>
  </si>
  <si>
    <t>SİNAN MENCİK (USTA)</t>
  </si>
  <si>
    <t>MUSTAFA GÜNBAKAN (USTA YARDIMCISI)</t>
  </si>
  <si>
    <t>ADEM AKKAŞ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</si>
</sst>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13</xdr:row>
      <xdr:rowOff>23811</xdr:rowOff>
    </xdr:from>
    <xdr:to>
      <xdr:col>6</xdr:col>
      <xdr:colOff>840610</xdr:colOff>
      <xdr:row>51</xdr:row>
      <xdr:rowOff>247687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AA6E9AC-1D3F-44F9-AA47-79437B79C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3095624"/>
          <a:ext cx="7079485" cy="9439313"/>
        </a:xfrm>
        <a:prstGeom prst="rect">
          <a:avLst/>
        </a:prstGeom>
      </xdr:spPr>
    </xdr:pic>
    <xdr:clientData/>
  </xdr:twoCellAnchor>
  <xdr:twoCellAnchor editAs="oneCell">
    <xdr:from>
      <xdr:col>1</xdr:col>
      <xdr:colOff>78562</xdr:colOff>
      <xdr:row>54</xdr:row>
      <xdr:rowOff>245249</xdr:rowOff>
    </xdr:from>
    <xdr:to>
      <xdr:col>6</xdr:col>
      <xdr:colOff>823922</xdr:colOff>
      <xdr:row>100</xdr:row>
      <xdr:rowOff>183375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AF0F956C-E371-4BE9-8401-837BEE3B3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687" y="13461187"/>
          <a:ext cx="7079485" cy="9439313"/>
        </a:xfrm>
        <a:prstGeom prst="rect">
          <a:avLst/>
        </a:prstGeom>
      </xdr:spPr>
    </xdr:pic>
    <xdr:clientData/>
  </xdr:twoCellAnchor>
  <xdr:twoCellAnchor editAs="oneCell">
    <xdr:from>
      <xdr:col>6</xdr:col>
      <xdr:colOff>942938</xdr:colOff>
      <xdr:row>13</xdr:row>
      <xdr:rowOff>38061</xdr:rowOff>
    </xdr:from>
    <xdr:to>
      <xdr:col>11</xdr:col>
      <xdr:colOff>664360</xdr:colOff>
      <xdr:row>51</xdr:row>
      <xdr:rowOff>261937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998EB621-49A5-4346-A288-FA3009666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188" y="3109874"/>
          <a:ext cx="7079485" cy="9439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F46" sqref="F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46287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85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">
        <v>86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37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26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38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23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87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30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168" t="s">
        <v>88</v>
      </c>
      <c r="D43" s="169"/>
      <c r="E43" s="60">
        <f t="shared" ref="E43:E46" si="0">+$D$5</f>
        <v>46287</v>
      </c>
      <c r="F43" s="61" t="s">
        <v>82</v>
      </c>
      <c r="G43" s="61">
        <v>1</v>
      </c>
      <c r="H43" s="92"/>
      <c r="I43" s="92"/>
      <c r="J43" s="177">
        <f>+H43*G43</f>
        <v>0</v>
      </c>
      <c r="K43" s="177"/>
      <c r="L43" s="178"/>
    </row>
    <row r="44" spans="2:13" ht="25.15" customHeight="1" x14ac:dyDescent="0.25">
      <c r="B44" s="2">
        <v>2</v>
      </c>
      <c r="C44" s="168" t="s">
        <v>89</v>
      </c>
      <c r="D44" s="169"/>
      <c r="E44" s="60">
        <f t="shared" si="0"/>
        <v>46287</v>
      </c>
      <c r="F44" s="62" t="s">
        <v>82</v>
      </c>
      <c r="G44" s="62">
        <v>1</v>
      </c>
      <c r="H44" s="92"/>
      <c r="I44" s="92"/>
      <c r="J44" s="177">
        <f t="shared" ref="J44:J60" si="1">+H44*G44</f>
        <v>0</v>
      </c>
      <c r="K44" s="177"/>
      <c r="L44" s="178"/>
    </row>
    <row r="45" spans="2:13" ht="25.15" customHeight="1" x14ac:dyDescent="0.25">
      <c r="B45" s="2">
        <v>3</v>
      </c>
      <c r="C45" s="168" t="s">
        <v>90</v>
      </c>
      <c r="D45" s="169"/>
      <c r="E45" s="60">
        <f t="shared" si="0"/>
        <v>46287</v>
      </c>
      <c r="F45" s="83" t="s">
        <v>82</v>
      </c>
      <c r="G45" s="83">
        <v>1</v>
      </c>
      <c r="H45" s="92"/>
      <c r="I45" s="92"/>
      <c r="J45" s="177">
        <f t="shared" ref="J45:J52" si="2">+H45*G45</f>
        <v>0</v>
      </c>
      <c r="K45" s="177"/>
      <c r="L45" s="178"/>
    </row>
    <row r="46" spans="2:13" ht="25.15" customHeight="1" x14ac:dyDescent="0.25">
      <c r="B46" s="2">
        <v>4</v>
      </c>
      <c r="C46" s="168" t="s">
        <v>91</v>
      </c>
      <c r="D46" s="169"/>
      <c r="E46" s="60">
        <f t="shared" si="0"/>
        <v>46287</v>
      </c>
      <c r="F46" s="83" t="s">
        <v>82</v>
      </c>
      <c r="G46" s="83">
        <v>1</v>
      </c>
      <c r="H46" s="92"/>
      <c r="I46" s="92"/>
      <c r="J46" s="177">
        <f t="shared" ref="J46:J51" si="3">+H46*G46</f>
        <v>0</v>
      </c>
      <c r="K46" s="177"/>
      <c r="L46" s="178"/>
    </row>
    <row r="47" spans="2:13" ht="25.15" customHeight="1" x14ac:dyDescent="0.25">
      <c r="B47" s="2">
        <v>5</v>
      </c>
      <c r="C47" s="168"/>
      <c r="D47" s="169"/>
      <c r="E47" s="60"/>
      <c r="F47" s="82"/>
      <c r="G47" s="82"/>
      <c r="H47" s="92"/>
      <c r="I47" s="92"/>
      <c r="J47" s="177">
        <f t="shared" ref="J47:J49" si="4">+H47*G47</f>
        <v>0</v>
      </c>
      <c r="K47" s="177"/>
      <c r="L47" s="178"/>
    </row>
    <row r="48" spans="2:13" ht="25.15" customHeight="1" x14ac:dyDescent="0.25">
      <c r="B48" s="2">
        <v>6</v>
      </c>
      <c r="C48" s="168"/>
      <c r="D48" s="169"/>
      <c r="E48" s="60"/>
      <c r="F48" s="82"/>
      <c r="G48" s="82"/>
      <c r="H48" s="92"/>
      <c r="I48" s="92"/>
      <c r="J48" s="177">
        <f t="shared" si="4"/>
        <v>0</v>
      </c>
      <c r="K48" s="177"/>
      <c r="L48" s="178"/>
    </row>
    <row r="49" spans="2:12" ht="25.15" customHeight="1" x14ac:dyDescent="0.25">
      <c r="B49" s="2">
        <v>7</v>
      </c>
      <c r="C49" s="168"/>
      <c r="D49" s="169"/>
      <c r="E49" s="60"/>
      <c r="F49" s="82"/>
      <c r="G49" s="82"/>
      <c r="H49" s="92"/>
      <c r="I49" s="92"/>
      <c r="J49" s="177">
        <f t="shared" si="4"/>
        <v>0</v>
      </c>
      <c r="K49" s="177"/>
      <c r="L49" s="178"/>
    </row>
    <row r="50" spans="2:12" ht="25.15" customHeight="1" x14ac:dyDescent="0.25">
      <c r="B50" s="2">
        <v>8</v>
      </c>
      <c r="C50" s="168"/>
      <c r="D50" s="169"/>
      <c r="E50" s="60"/>
      <c r="F50" s="82"/>
      <c r="G50" s="82"/>
      <c r="H50" s="92"/>
      <c r="I50" s="92"/>
      <c r="J50" s="177">
        <f t="shared" si="3"/>
        <v>0</v>
      </c>
      <c r="K50" s="177"/>
      <c r="L50" s="178"/>
    </row>
    <row r="51" spans="2:12" ht="25.15" customHeight="1" x14ac:dyDescent="0.25">
      <c r="B51" s="2">
        <v>9</v>
      </c>
      <c r="C51" s="168"/>
      <c r="D51" s="169"/>
      <c r="E51" s="60"/>
      <c r="F51" s="82"/>
      <c r="G51" s="82"/>
      <c r="H51" s="92"/>
      <c r="I51" s="92"/>
      <c r="J51" s="177">
        <f t="shared" si="3"/>
        <v>0</v>
      </c>
      <c r="K51" s="177"/>
      <c r="L51" s="178"/>
    </row>
    <row r="52" spans="2:12" ht="35.25" customHeight="1" thickBot="1" x14ac:dyDescent="0.3">
      <c r="B52" s="2">
        <v>10</v>
      </c>
      <c r="C52" s="93"/>
      <c r="D52" s="94"/>
      <c r="E52" s="60"/>
      <c r="F52" s="82"/>
      <c r="G52" s="82"/>
      <c r="H52" s="92"/>
      <c r="I52" s="92"/>
      <c r="J52" s="177">
        <f t="shared" si="2"/>
        <v>0</v>
      </c>
      <c r="K52" s="177"/>
      <c r="L52" s="178"/>
    </row>
    <row r="53" spans="2:12" ht="25.15" customHeight="1" thickBot="1" x14ac:dyDescent="0.3">
      <c r="B53" s="172" t="s">
        <v>74</v>
      </c>
      <c r="C53" s="172"/>
      <c r="D53" s="172"/>
      <c r="E53" s="172"/>
      <c r="F53" s="172"/>
      <c r="G53" s="172"/>
      <c r="H53" s="172"/>
      <c r="I53" s="172"/>
      <c r="J53" s="174">
        <f>+SUM(J43:L52)</f>
        <v>0</v>
      </c>
      <c r="K53" s="175"/>
      <c r="L53" s="176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9"/>
      <c r="I54" s="139"/>
      <c r="J54" s="139"/>
      <c r="K54" s="139"/>
      <c r="L54" s="14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8" t="s">
        <v>4</v>
      </c>
      <c r="I55" s="128"/>
      <c r="J55" s="128" t="s">
        <v>5</v>
      </c>
      <c r="K55" s="128"/>
      <c r="L55" s="129"/>
    </row>
    <row r="56" spans="2:12" ht="25.15" customHeight="1" x14ac:dyDescent="0.25">
      <c r="B56" s="2">
        <v>1</v>
      </c>
      <c r="C56" s="170"/>
      <c r="D56" s="171"/>
      <c r="E56" s="60"/>
      <c r="F56" s="82"/>
      <c r="G56" s="82"/>
      <c r="H56" s="173"/>
      <c r="I56" s="171"/>
      <c r="J56" s="173">
        <f t="shared" si="1"/>
        <v>0</v>
      </c>
      <c r="K56" s="171"/>
      <c r="L56" s="179"/>
    </row>
    <row r="57" spans="2:12" ht="25.15" customHeight="1" x14ac:dyDescent="0.25">
      <c r="B57" s="2">
        <v>2</v>
      </c>
      <c r="C57" s="170"/>
      <c r="D57" s="171"/>
      <c r="E57" s="60"/>
      <c r="F57" s="82"/>
      <c r="G57" s="82"/>
      <c r="H57" s="173"/>
      <c r="I57" s="171"/>
      <c r="J57" s="173">
        <f t="shared" si="1"/>
        <v>0</v>
      </c>
      <c r="K57" s="171"/>
      <c r="L57" s="179"/>
    </row>
    <row r="58" spans="2:12" ht="25.15" customHeight="1" x14ac:dyDescent="0.25">
      <c r="B58" s="2">
        <v>3</v>
      </c>
      <c r="C58" s="170"/>
      <c r="D58" s="171"/>
      <c r="E58" s="59"/>
      <c r="F58" s="48"/>
      <c r="G58" s="48"/>
      <c r="H58" s="173"/>
      <c r="I58" s="171"/>
      <c r="J58" s="173">
        <f t="shared" si="1"/>
        <v>0</v>
      </c>
      <c r="K58" s="171"/>
      <c r="L58" s="179"/>
    </row>
    <row r="59" spans="2:12" ht="25.15" customHeight="1" x14ac:dyDescent="0.25">
      <c r="B59" s="2">
        <v>4</v>
      </c>
      <c r="C59" s="170"/>
      <c r="D59" s="171"/>
      <c r="E59" s="59"/>
      <c r="F59" s="48"/>
      <c r="G59" s="48"/>
      <c r="H59" s="173"/>
      <c r="I59" s="171"/>
      <c r="J59" s="173">
        <f t="shared" si="1"/>
        <v>0</v>
      </c>
      <c r="K59" s="171"/>
      <c r="L59" s="179"/>
    </row>
    <row r="60" spans="2:12" ht="25.15" customHeight="1" thickBot="1" x14ac:dyDescent="0.3">
      <c r="B60" s="2">
        <v>5</v>
      </c>
      <c r="C60" s="170"/>
      <c r="D60" s="171"/>
      <c r="E60" s="47"/>
      <c r="F60" s="48"/>
      <c r="G60" s="48"/>
      <c r="H60" s="173"/>
      <c r="I60" s="171"/>
      <c r="J60" s="173">
        <f t="shared" si="1"/>
        <v>0</v>
      </c>
      <c r="K60" s="171"/>
      <c r="L60" s="179"/>
    </row>
    <row r="61" spans="2:12" ht="25.15" customHeight="1" thickBot="1" x14ac:dyDescent="0.3">
      <c r="B61" s="172" t="s">
        <v>74</v>
      </c>
      <c r="C61" s="172"/>
      <c r="D61" s="172"/>
      <c r="E61" s="172"/>
      <c r="F61" s="172"/>
      <c r="G61" s="172"/>
      <c r="H61" s="172"/>
      <c r="I61" s="172"/>
      <c r="J61" s="174">
        <f>+SUM(J56:L60)</f>
        <v>0</v>
      </c>
      <c r="K61" s="175"/>
      <c r="L61" s="176"/>
    </row>
    <row r="62" spans="2:12" ht="25.15" customHeight="1" thickBot="1" x14ac:dyDescent="0.3">
      <c r="B62" s="172" t="s">
        <v>6</v>
      </c>
      <c r="C62" s="172"/>
      <c r="D62" s="172"/>
      <c r="E62" s="172"/>
      <c r="F62" s="172"/>
      <c r="G62" s="172"/>
      <c r="H62" s="172"/>
      <c r="I62" s="172"/>
      <c r="J62" s="174">
        <f>+J61+J53</f>
        <v>0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80"/>
      <c r="I63" s="180"/>
      <c r="J63" s="181"/>
      <c r="K63" s="182"/>
      <c r="L63" s="182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10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29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27</v>
      </c>
      <c r="C75" s="88"/>
      <c r="D75" s="88"/>
      <c r="E75" s="89"/>
      <c r="F75" s="88" t="s">
        <v>68</v>
      </c>
      <c r="G75" s="88"/>
      <c r="H75" s="89"/>
      <c r="I75" s="90" t="s">
        <v>31</v>
      </c>
      <c r="J75" s="88"/>
      <c r="K75" s="88"/>
      <c r="L75" s="104"/>
    </row>
    <row r="76" spans="2:12" ht="19.899999999999999" customHeight="1" x14ac:dyDescent="0.25">
      <c r="B76" s="96"/>
      <c r="C76" s="97"/>
      <c r="D76" s="97"/>
      <c r="E76" s="98"/>
      <c r="F76" s="105" t="s">
        <v>75</v>
      </c>
      <c r="G76" s="106"/>
      <c r="H76" s="107"/>
      <c r="I76" s="111" t="s">
        <v>25</v>
      </c>
      <c r="J76" s="112"/>
      <c r="K76" s="112"/>
      <c r="L76" s="113"/>
    </row>
    <row r="77" spans="2:12" ht="19.899999999999999" customHeight="1" x14ac:dyDescent="0.25">
      <c r="B77" s="99"/>
      <c r="C77" s="100"/>
      <c r="D77" s="100"/>
      <c r="E77" s="101"/>
      <c r="F77" s="108"/>
      <c r="G77" s="109"/>
      <c r="H77" s="110"/>
      <c r="I77" s="114"/>
      <c r="J77" s="115"/>
      <c r="K77" s="115"/>
      <c r="L77" s="116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7"/>
      <c r="J79" s="118"/>
      <c r="K79" s="118"/>
      <c r="L79" s="11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7"/>
      <c r="J80" s="118"/>
      <c r="K80" s="118"/>
      <c r="L80" s="11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24</v>
      </c>
      <c r="C86" s="88"/>
      <c r="D86" s="88"/>
      <c r="E86" s="89"/>
      <c r="F86" s="88" t="s">
        <v>64</v>
      </c>
      <c r="G86" s="88"/>
      <c r="H86" s="89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2" t="s">
        <v>62</v>
      </c>
      <c r="D88" s="102"/>
      <c r="E88" s="10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2"/>
      <c r="D91" s="102"/>
      <c r="E91" s="10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57</v>
      </c>
      <c r="C96" s="88"/>
      <c r="D96" s="88"/>
      <c r="E96" s="89"/>
      <c r="F96" s="88" t="s">
        <v>32</v>
      </c>
      <c r="G96" s="88"/>
      <c r="H96" s="89"/>
      <c r="I96" s="90" t="s">
        <v>28</v>
      </c>
      <c r="J96" s="88"/>
      <c r="K96" s="88"/>
      <c r="L96" s="10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2"/>
      <c r="D98" s="102"/>
      <c r="E98" s="10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2"/>
      <c r="D101" s="102"/>
      <c r="E101" s="10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5" t="s">
        <v>73</v>
      </c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59" sqref="I59:L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46287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6" t="str">
        <f>'İLAVE İS TUT.'!D7</f>
        <v>269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C3 / 0.20 / C-Z-311 , C-Z-319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1"/>
    </row>
    <row r="15" spans="2:13" ht="25.9" customHeight="1" x14ac:dyDescent="0.25">
      <c r="B15" s="201"/>
      <c r="C15" s="201"/>
      <c r="D15" s="201"/>
      <c r="E15" s="77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77"/>
      <c r="F17" s="77"/>
      <c r="G17" s="77"/>
      <c r="H17" s="77"/>
      <c r="I17" s="78"/>
      <c r="J17" s="77"/>
      <c r="K17" s="78"/>
      <c r="L17" s="77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77"/>
      <c r="F19" s="77"/>
      <c r="G19" s="77"/>
      <c r="H19" s="77"/>
      <c r="I19" s="200"/>
      <c r="J19" s="200"/>
      <c r="K19" s="200"/>
      <c r="L19" s="77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77"/>
      <c r="F21" s="77"/>
      <c r="G21" s="77"/>
      <c r="H21" s="77"/>
      <c r="I21" s="200"/>
      <c r="J21" s="200"/>
      <c r="K21" s="200"/>
      <c r="L21" s="77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77"/>
      <c r="F23" s="202"/>
      <c r="G23" s="202"/>
      <c r="H23" s="202"/>
      <c r="I23" s="200"/>
      <c r="J23" s="200"/>
      <c r="K23" s="200"/>
      <c r="L23" s="77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77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79"/>
      <c r="C26" s="79"/>
      <c r="D26" s="79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80"/>
      <c r="F27" s="81"/>
      <c r="G27" s="81"/>
      <c r="H27" s="81"/>
      <c r="I27" s="81"/>
      <c r="J27" s="81"/>
      <c r="K27" s="81"/>
      <c r="L27" s="81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80"/>
      <c r="F32" s="81"/>
      <c r="G32" s="81"/>
      <c r="H32" s="81"/>
      <c r="I32" s="81"/>
      <c r="J32" s="81"/>
      <c r="K32" s="81"/>
      <c r="L32" s="81"/>
      <c r="M32" s="1"/>
    </row>
    <row r="33" spans="2:13" x14ac:dyDescent="0.25">
      <c r="B33" s="201"/>
      <c r="C33" s="201"/>
      <c r="D33" s="201"/>
      <c r="E33" s="81"/>
      <c r="F33" s="81"/>
      <c r="G33" s="81"/>
      <c r="H33" s="81"/>
      <c r="I33" s="81"/>
      <c r="J33" s="81"/>
      <c r="K33" s="81"/>
      <c r="L33" s="81"/>
      <c r="M33" s="1"/>
    </row>
    <row r="34" spans="2:13" x14ac:dyDescent="0.25">
      <c r="B34" s="201"/>
      <c r="C34" s="201"/>
      <c r="D34" s="201"/>
      <c r="E34" s="81"/>
      <c r="F34" s="81"/>
      <c r="G34" s="81"/>
      <c r="H34" s="81"/>
      <c r="I34" s="81"/>
      <c r="J34" s="81"/>
      <c r="K34" s="81"/>
      <c r="L34" s="81"/>
      <c r="M34" s="1"/>
    </row>
    <row r="35" spans="2:13" x14ac:dyDescent="0.25">
      <c r="B35" s="201"/>
      <c r="C35" s="201"/>
      <c r="D35" s="201"/>
      <c r="E35" s="81"/>
      <c r="F35" s="81"/>
      <c r="G35" s="81"/>
      <c r="H35" s="81"/>
      <c r="I35" s="81"/>
      <c r="J35" s="81"/>
      <c r="K35" s="81"/>
      <c r="L35" s="81"/>
      <c r="M35" s="1"/>
    </row>
    <row r="36" spans="2:13" x14ac:dyDescent="0.25">
      <c r="B36" s="201"/>
      <c r="C36" s="201"/>
      <c r="D36" s="201"/>
      <c r="E36" s="81"/>
      <c r="F36" s="81"/>
      <c r="G36" s="81"/>
      <c r="H36" s="81"/>
      <c r="I36" s="81"/>
      <c r="J36" s="81"/>
      <c r="K36" s="81"/>
      <c r="L36" s="81"/>
      <c r="M36" s="1"/>
    </row>
    <row r="37" spans="2:13" ht="16.899999999999999" customHeight="1" x14ac:dyDescent="0.25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3" ht="25.15" customHeight="1" x14ac:dyDescent="0.25">
      <c r="B41" s="65"/>
      <c r="C41" s="66"/>
      <c r="D41" s="65"/>
      <c r="E41" s="65"/>
      <c r="F41" s="65"/>
      <c r="G41" s="65"/>
      <c r="H41" s="197"/>
      <c r="I41" s="197"/>
      <c r="J41" s="197"/>
      <c r="K41" s="197"/>
      <c r="L41" s="197"/>
    </row>
    <row r="42" spans="2:13" ht="25.15" customHeight="1" x14ac:dyDescent="0.25">
      <c r="B42" s="65"/>
      <c r="C42" s="66"/>
      <c r="D42" s="65"/>
      <c r="E42" s="65"/>
      <c r="F42" s="65"/>
      <c r="G42" s="65"/>
      <c r="H42" s="197"/>
      <c r="I42" s="197"/>
      <c r="J42" s="197"/>
      <c r="K42" s="197"/>
      <c r="L42" s="197"/>
    </row>
    <row r="43" spans="2:13" ht="25.15" customHeight="1" x14ac:dyDescent="0.25">
      <c r="B43" s="67"/>
      <c r="C43" s="192"/>
      <c r="D43" s="192"/>
      <c r="E43" s="68"/>
      <c r="F43" s="69"/>
      <c r="G43" s="69"/>
      <c r="H43" s="198"/>
      <c r="I43" s="198"/>
      <c r="J43" s="193"/>
      <c r="K43" s="192"/>
      <c r="L43" s="192"/>
    </row>
    <row r="44" spans="2:13" ht="25.15" customHeight="1" x14ac:dyDescent="0.25">
      <c r="B44" s="67"/>
      <c r="C44" s="192"/>
      <c r="D44" s="192"/>
      <c r="E44" s="70"/>
      <c r="F44" s="69"/>
      <c r="G44" s="69"/>
      <c r="H44" s="198"/>
      <c r="I44" s="198"/>
      <c r="J44" s="193"/>
      <c r="K44" s="192"/>
      <c r="L44" s="192"/>
    </row>
    <row r="45" spans="2:13" ht="25.15" customHeight="1" x14ac:dyDescent="0.25">
      <c r="B45" s="67"/>
      <c r="C45" s="192"/>
      <c r="D45" s="192"/>
      <c r="E45" s="70"/>
      <c r="F45" s="69"/>
      <c r="G45" s="69"/>
      <c r="H45" s="198"/>
      <c r="I45" s="198"/>
      <c r="J45" s="193"/>
      <c r="K45" s="192"/>
      <c r="L45" s="192"/>
    </row>
    <row r="46" spans="2:13" ht="25.15" customHeight="1" x14ac:dyDescent="0.25">
      <c r="B46" s="67"/>
      <c r="C46" s="192"/>
      <c r="D46" s="192"/>
      <c r="E46" s="71"/>
      <c r="F46" s="69"/>
      <c r="G46" s="69"/>
      <c r="H46" s="193"/>
      <c r="I46" s="192"/>
      <c r="J46" s="193"/>
      <c r="K46" s="192"/>
      <c r="L46" s="192"/>
    </row>
    <row r="47" spans="2:13" ht="25.15" customHeight="1" x14ac:dyDescent="0.25">
      <c r="B47" s="67"/>
      <c r="C47" s="192"/>
      <c r="D47" s="192"/>
      <c r="E47" s="70"/>
      <c r="F47" s="69"/>
      <c r="G47" s="69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5"/>
      <c r="C49" s="66"/>
      <c r="D49" s="65"/>
      <c r="E49" s="65"/>
      <c r="F49" s="65"/>
      <c r="G49" s="65"/>
      <c r="H49" s="197"/>
      <c r="I49" s="197"/>
      <c r="J49" s="197"/>
      <c r="K49" s="197"/>
      <c r="L49" s="197"/>
    </row>
    <row r="50" spans="2:12" ht="25.15" customHeight="1" x14ac:dyDescent="0.25">
      <c r="B50" s="65"/>
      <c r="C50" s="66"/>
      <c r="D50" s="65"/>
      <c r="E50" s="65"/>
      <c r="F50" s="65"/>
      <c r="G50" s="65"/>
      <c r="H50" s="197"/>
      <c r="I50" s="197"/>
      <c r="J50" s="197"/>
      <c r="K50" s="197"/>
      <c r="L50" s="197"/>
    </row>
    <row r="51" spans="2:12" ht="25.15" customHeight="1" x14ac:dyDescent="0.25">
      <c r="B51" s="67"/>
      <c r="C51" s="192"/>
      <c r="D51" s="192"/>
      <c r="E51" s="70"/>
      <c r="F51" s="69"/>
      <c r="G51" s="69"/>
      <c r="H51" s="193"/>
      <c r="I51" s="192"/>
      <c r="J51" s="193"/>
      <c r="K51" s="192"/>
      <c r="L51" s="192"/>
    </row>
    <row r="52" spans="2:12" ht="25.15" customHeight="1" x14ac:dyDescent="0.25">
      <c r="B52" s="67"/>
      <c r="C52" s="192"/>
      <c r="D52" s="192"/>
      <c r="E52" s="70"/>
      <c r="F52" s="69"/>
      <c r="G52" s="69"/>
      <c r="H52" s="193"/>
      <c r="I52" s="192"/>
      <c r="J52" s="193"/>
      <c r="K52" s="192"/>
      <c r="L52" s="192"/>
    </row>
    <row r="53" spans="2:12" ht="25.15" customHeight="1" x14ac:dyDescent="0.25">
      <c r="B53" s="67"/>
      <c r="C53" s="192"/>
      <c r="D53" s="192"/>
      <c r="E53" s="70"/>
      <c r="F53" s="69"/>
      <c r="G53" s="69"/>
      <c r="H53" s="193"/>
      <c r="I53" s="192"/>
      <c r="J53" s="193"/>
      <c r="K53" s="192"/>
      <c r="L53" s="192"/>
    </row>
    <row r="54" spans="2:12" ht="25.15" customHeight="1" x14ac:dyDescent="0.25">
      <c r="B54" s="67"/>
      <c r="C54" s="192"/>
      <c r="D54" s="192"/>
      <c r="E54" s="70"/>
      <c r="F54" s="69"/>
      <c r="G54" s="69"/>
      <c r="H54" s="193"/>
      <c r="I54" s="192"/>
      <c r="J54" s="193"/>
      <c r="K54" s="192"/>
      <c r="L54" s="192"/>
    </row>
    <row r="55" spans="2:12" ht="25.15" customHeight="1" x14ac:dyDescent="0.25">
      <c r="B55" s="67"/>
      <c r="C55" s="192"/>
      <c r="D55" s="192"/>
      <c r="E55" s="70"/>
      <c r="F55" s="69"/>
      <c r="G55" s="69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4"/>
      <c r="C58" s="64"/>
      <c r="D58" s="64"/>
      <c r="E58" s="64"/>
      <c r="F58" s="64"/>
      <c r="G58" s="64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2:12" s="1" customFormat="1" ht="14.45" customHeight="1" x14ac:dyDescent="0.25">
      <c r="B61" s="72"/>
      <c r="C61" s="72"/>
      <c r="D61" s="72"/>
      <c r="E61" s="72"/>
      <c r="F61" s="187"/>
      <c r="G61" s="188"/>
      <c r="H61" s="188"/>
      <c r="I61" s="72"/>
      <c r="J61" s="72"/>
      <c r="K61" s="72"/>
      <c r="L61" s="72"/>
    </row>
    <row r="62" spans="2:12" x14ac:dyDescent="0.25">
      <c r="B62" s="72"/>
      <c r="C62" s="72"/>
      <c r="D62" s="72"/>
      <c r="E62" s="72"/>
      <c r="F62" s="188"/>
      <c r="G62" s="188"/>
      <c r="H62" s="188"/>
      <c r="I62" s="72"/>
      <c r="J62" s="72"/>
      <c r="K62" s="72"/>
      <c r="L62" s="72"/>
    </row>
    <row r="63" spans="2:12" ht="15" customHeight="1" x14ac:dyDescent="0.25">
      <c r="B63" s="72"/>
      <c r="C63" s="72"/>
      <c r="D63" s="72"/>
      <c r="E63" s="72"/>
      <c r="F63" s="187"/>
      <c r="G63" s="188"/>
      <c r="H63" s="188"/>
      <c r="I63" s="72"/>
      <c r="J63" s="72"/>
      <c r="K63" s="72"/>
      <c r="L63" s="72"/>
    </row>
    <row r="64" spans="2:12" x14ac:dyDescent="0.25">
      <c r="B64" s="72"/>
      <c r="C64" s="72"/>
      <c r="D64" s="72"/>
      <c r="E64" s="72"/>
      <c r="F64" s="188"/>
      <c r="G64" s="188"/>
      <c r="H64" s="188"/>
      <c r="I64" s="72"/>
      <c r="J64" s="72"/>
      <c r="K64" s="72"/>
      <c r="L64" s="72"/>
    </row>
    <row r="65" spans="2:12" x14ac:dyDescent="0.25">
      <c r="B65" s="72"/>
      <c r="C65" s="72"/>
      <c r="D65" s="72"/>
      <c r="E65" s="72"/>
      <c r="F65" s="73"/>
      <c r="G65" s="73"/>
      <c r="H65" s="73"/>
      <c r="I65" s="72"/>
      <c r="J65" s="72"/>
      <c r="K65" s="72"/>
      <c r="L65" s="72"/>
    </row>
    <row r="66" spans="2:12" x14ac:dyDescent="0.25">
      <c r="B66" s="72"/>
      <c r="C66" s="72"/>
      <c r="D66" s="72"/>
      <c r="E66" s="72"/>
      <c r="F66" s="73"/>
      <c r="G66" s="73"/>
      <c r="H66" s="73"/>
      <c r="I66" s="72"/>
      <c r="J66" s="72"/>
      <c r="K66" s="72"/>
      <c r="L66" s="72"/>
    </row>
    <row r="67" spans="2:12" x14ac:dyDescent="0.25">
      <c r="B67" s="72"/>
      <c r="C67" s="72"/>
      <c r="D67" s="72"/>
      <c r="E67" s="72"/>
      <c r="F67" s="73"/>
      <c r="G67" s="73"/>
      <c r="H67" s="73"/>
      <c r="I67" s="72"/>
      <c r="J67" s="72"/>
      <c r="K67" s="72"/>
      <c r="L67" s="72"/>
    </row>
    <row r="68" spans="2:12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2:12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2"/>
      <c r="J73" s="72"/>
      <c r="K73" s="72"/>
      <c r="L73" s="72"/>
    </row>
    <row r="74" spans="2:12" ht="14.45" customHeight="1" x14ac:dyDescent="0.25">
      <c r="B74" s="72"/>
      <c r="C74" s="72"/>
      <c r="D74" s="72"/>
      <c r="E74" s="72"/>
      <c r="F74" s="72"/>
      <c r="G74" s="72"/>
      <c r="H74" s="72"/>
      <c r="I74" s="185"/>
      <c r="J74" s="185"/>
      <c r="K74" s="185"/>
      <c r="L74" s="185"/>
    </row>
    <row r="75" spans="2:12" ht="14.65" customHeight="1" x14ac:dyDescent="0.25">
      <c r="B75" s="72"/>
      <c r="C75" s="72"/>
      <c r="D75" s="72"/>
      <c r="E75" s="72"/>
      <c r="F75" s="74"/>
      <c r="G75" s="74"/>
      <c r="H75" s="74"/>
      <c r="I75" s="185"/>
      <c r="J75" s="185"/>
      <c r="K75" s="185"/>
      <c r="L75" s="185"/>
    </row>
    <row r="76" spans="2:12" x14ac:dyDescent="0.25"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2"/>
    </row>
    <row r="77" spans="2:12" x14ac:dyDescent="0.25"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2:12" x14ac:dyDescent="0.25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2:12" x14ac:dyDescent="0.25"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2:12" x14ac:dyDescent="0.25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5"/>
      <c r="J81" s="75"/>
      <c r="K81" s="75"/>
      <c r="L81" s="75"/>
    </row>
    <row r="82" spans="2:12" ht="14.65" customHeight="1" x14ac:dyDescent="0.25">
      <c r="B82" s="76"/>
      <c r="C82" s="76"/>
      <c r="D82" s="76"/>
      <c r="E82" s="72"/>
      <c r="F82" s="72"/>
      <c r="G82" s="72"/>
      <c r="H82" s="72"/>
      <c r="I82" s="72"/>
      <c r="J82" s="72"/>
      <c r="K82" s="72"/>
      <c r="L82" s="72"/>
    </row>
    <row r="83" spans="2:12" ht="14.65" customHeight="1" x14ac:dyDescent="0.25">
      <c r="B83" s="72"/>
      <c r="C83" s="183"/>
      <c r="D83" s="183"/>
      <c r="E83" s="183"/>
      <c r="F83" s="74"/>
      <c r="G83" s="74"/>
      <c r="H83" s="74"/>
      <c r="I83" s="72"/>
      <c r="J83" s="72"/>
      <c r="K83" s="72"/>
      <c r="L83" s="72"/>
    </row>
    <row r="84" spans="2:12" x14ac:dyDescent="0.25">
      <c r="B84" s="72"/>
      <c r="C84" s="183"/>
      <c r="D84" s="183"/>
      <c r="E84" s="183"/>
      <c r="F84" s="74"/>
      <c r="G84" s="74"/>
      <c r="H84" s="74"/>
      <c r="I84" s="72"/>
      <c r="J84" s="72"/>
      <c r="K84" s="72"/>
      <c r="L84" s="72"/>
    </row>
    <row r="85" spans="2:12" x14ac:dyDescent="0.25"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2:12" ht="14.65" customHeight="1" x14ac:dyDescent="0.25">
      <c r="B86" s="72"/>
      <c r="C86" s="183"/>
      <c r="D86" s="183"/>
      <c r="E86" s="183"/>
      <c r="F86" s="74"/>
      <c r="G86" s="74"/>
      <c r="H86" s="74"/>
      <c r="I86" s="72"/>
      <c r="J86" s="72"/>
      <c r="K86" s="72"/>
      <c r="L86" s="72"/>
    </row>
    <row r="87" spans="2:12" x14ac:dyDescent="0.25">
      <c r="B87" s="72"/>
      <c r="C87" s="183"/>
      <c r="D87" s="183"/>
      <c r="E87" s="183"/>
      <c r="F87" s="74"/>
      <c r="G87" s="74"/>
      <c r="H87" s="74"/>
      <c r="I87" s="72"/>
      <c r="J87" s="72"/>
      <c r="K87" s="72"/>
      <c r="L87" s="72"/>
    </row>
    <row r="88" spans="2:12" x14ac:dyDescent="0.25"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2:12" x14ac:dyDescent="0.25"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2:12" x14ac:dyDescent="0.25"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6"/>
      <c r="C92" s="76"/>
      <c r="D92" s="76"/>
      <c r="E92" s="72"/>
      <c r="F92" s="72"/>
      <c r="G92" s="72"/>
      <c r="H92" s="72"/>
      <c r="I92" s="72"/>
      <c r="J92" s="72"/>
      <c r="K92" s="72"/>
      <c r="L92" s="72"/>
    </row>
    <row r="93" spans="2:12" ht="14.65" customHeight="1" x14ac:dyDescent="0.25">
      <c r="B93" s="72"/>
      <c r="C93" s="183"/>
      <c r="D93" s="183"/>
      <c r="E93" s="183"/>
      <c r="F93" s="74"/>
      <c r="G93" s="74"/>
      <c r="H93" s="74"/>
      <c r="I93" s="72"/>
      <c r="J93" s="72"/>
      <c r="K93" s="72"/>
      <c r="L93" s="72"/>
    </row>
    <row r="94" spans="2:12" x14ac:dyDescent="0.25">
      <c r="B94" s="72"/>
      <c r="C94" s="183"/>
      <c r="D94" s="183"/>
      <c r="E94" s="183"/>
      <c r="F94" s="74"/>
      <c r="G94" s="74"/>
      <c r="H94" s="74"/>
      <c r="I94" s="72"/>
      <c r="J94" s="72"/>
      <c r="K94" s="72"/>
      <c r="L94" s="72"/>
    </row>
    <row r="95" spans="2:12" x14ac:dyDescent="0.25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6" spans="2:12" ht="14.65" customHeight="1" x14ac:dyDescent="0.25">
      <c r="B96" s="72"/>
      <c r="C96" s="183"/>
      <c r="D96" s="183"/>
      <c r="E96" s="183"/>
      <c r="F96" s="74"/>
      <c r="G96" s="74"/>
      <c r="H96" s="74"/>
      <c r="I96" s="72"/>
      <c r="J96" s="72"/>
      <c r="K96" s="72"/>
      <c r="L96" s="72"/>
    </row>
    <row r="97" spans="2:12" x14ac:dyDescent="0.25">
      <c r="B97" s="72"/>
      <c r="C97" s="183"/>
      <c r="D97" s="183"/>
      <c r="E97" s="183"/>
      <c r="F97" s="74"/>
      <c r="G97" s="74"/>
      <c r="H97" s="74"/>
      <c r="I97" s="72"/>
      <c r="J97" s="72"/>
      <c r="K97" s="72"/>
      <c r="L97" s="72"/>
    </row>
    <row r="98" spans="2:12" x14ac:dyDescent="0.25"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</row>
    <row r="99" spans="2:12" x14ac:dyDescent="0.25"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spans="2:12" x14ac:dyDescent="0.25"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2:12" x14ac:dyDescent="0.25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2" spans="2:12" ht="16.149999999999999" customHeight="1" x14ac:dyDescent="0.25">
      <c r="B102" s="72"/>
      <c r="C102" s="184"/>
      <c r="D102" s="184"/>
      <c r="E102" s="184"/>
      <c r="F102" s="184"/>
      <c r="G102" s="184"/>
      <c r="H102" s="184"/>
      <c r="I102" s="184"/>
      <c r="J102" s="184"/>
      <c r="K102" s="184"/>
      <c r="L102" s="72"/>
    </row>
    <row r="103" spans="2:12" ht="16.149999999999999" customHeight="1" x14ac:dyDescent="0.25">
      <c r="B103" s="72"/>
      <c r="C103" s="184"/>
      <c r="D103" s="184"/>
      <c r="E103" s="184"/>
      <c r="F103" s="184"/>
      <c r="G103" s="184"/>
      <c r="H103" s="184"/>
      <c r="I103" s="184"/>
      <c r="J103" s="184"/>
      <c r="K103" s="184"/>
      <c r="L103" s="72"/>
    </row>
    <row r="104" spans="2:12" ht="16.149999999999999" customHeight="1" x14ac:dyDescent="0.25">
      <c r="B104" s="72"/>
      <c r="C104" s="184"/>
      <c r="D104" s="184"/>
      <c r="E104" s="184"/>
      <c r="F104" s="184"/>
      <c r="G104" s="184"/>
      <c r="H104" s="184"/>
      <c r="I104" s="184"/>
      <c r="J104" s="184"/>
      <c r="K104" s="184"/>
      <c r="L104" s="72"/>
    </row>
    <row r="105" spans="2:12" ht="16.149999999999999" customHeight="1" x14ac:dyDescent="0.25">
      <c r="B105" s="72"/>
      <c r="C105" s="184"/>
      <c r="D105" s="184"/>
      <c r="E105" s="184"/>
      <c r="F105" s="184"/>
      <c r="G105" s="184"/>
      <c r="H105" s="184"/>
      <c r="I105" s="184"/>
      <c r="J105" s="184"/>
      <c r="K105" s="184"/>
      <c r="L105" s="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2026-10-06T13:05:50Z</cp:lastPrinted>
  <dcterms:created xsi:type="dcterms:W3CDTF">2014-05-26T07:40:11Z</dcterms:created>
  <dcterms:modified xsi:type="dcterms:W3CDTF">2026-10-06T13:08:47Z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