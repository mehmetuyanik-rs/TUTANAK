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77C706D-08A0-474A-A465-09C8B9DC19B2}" xr6:coauthVersionLast="47" xr6:coauthVersionMax="47" xr10:uidLastSave="{00000000-0000-0000-0000-000000000000}"/>
  <bookViews>
    <workbookView xWindow="31425" yWindow="543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<sst xmlns="http://schemas.openxmlformats.org/spreadsheetml/2006/main" count="114" uniqueCount="94">
  <si>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</si>
  <si>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</si>
  <si>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</si>
  <si>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</si>
  <si>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</si>
  <si>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</si>
  <si>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</si>
  <si>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</si>
  <si>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</si>
  <si>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</si>
  <si>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</si>
  <si>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</si>
  <si>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</si>
  <si>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</si>
  <si>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</si>
  <si>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</si>
  <si>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</si>
  <si>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</si>
  <si>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</si>
  <si>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</si>
  <si>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</si>
  <si>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</si>
  <si>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</si>
  <si>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</si>
  <si>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</si>
  <si>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</si>
  <si>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</si>
  <si>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</si>
  <si>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</si>
  <si>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</si>
  <si>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</si>
  <si>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</si>
  <si>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</si>
  <si>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</si>
  <si>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</si>
  <si>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</si>
  <si>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</si>
  <si>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</si>
  <si>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</si>
  <si>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</si>
  <si>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</si>
  <si>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</si>
  <si>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</si>
  <si>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</si>
  <si>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</si>
  <si>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</si>
  <si>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</si>
  <si>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</si>
  <si>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</si>
  <si>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</si>
  <si>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</si>
  <si>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</si>
  <si>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</si>
  <si>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</si>
  <si>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</si>
  <si>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</si>
  <si>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</si>
  <si>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</si>
  <si>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</si>
  <si>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</si>
  <si>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</si>
  <si>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</si>
  <si>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</si>
  <si>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</si>
  <si>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</si>
  <si>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</si>
  <si>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</si>
  <si>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</si>
  <si>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</si>
  <si>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</si>
  <si>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</si>
  <si>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</si>
  <si>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</si>
  <si>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</si>
  <si>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</si>
  <si>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</si>
  <si>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</si>
  <si>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</si>
  <si>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</si>
  <si>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</si>
  <si>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</si>
  <si>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</si>
  <si>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</si>
  <si>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</si>
  <si>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</si>
  <si>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</si>
  <si>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</si>
  <si>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191</t>
  </si>
  <si>
    <t>C3 / 0.20</t>
  </si>
  <si>
    <t>C5 Blok 0.20 kotunda, hasar gören alçıpan duvarların sökümü yapılarak, alçıpan duvarlar tarafımızca yeniden yapılmıştır.</t>
  </si>
  <si>
    <t>İBRAHİM MENCİK(USTA)</t>
  </si>
  <si>
    <t>YILMAZ ARSLAN(USTA)</t>
  </si>
  <si>
    <t>MEHMET EYYÜP ARĞİŞ(USTA YARDIMCISI)</t>
  </si>
  <si>
    <t>İSA ÇİFTÇİ(USTA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</si>
</sst>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500063</xdr:colOff>
      <xdr:row>11</xdr:row>
      <xdr:rowOff>71437</xdr:rowOff>
    </xdr:from>
    <xdr:to>
      <xdr:col>5</xdr:col>
      <xdr:colOff>1192530</xdr:colOff>
      <xdr:row>52</xdr:row>
      <xdr:rowOff>223837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209535A-BE26-4C64-81F7-7F004411D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9813" y="2762250"/>
          <a:ext cx="452628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507188</xdr:colOff>
      <xdr:row>53</xdr:row>
      <xdr:rowOff>269063</xdr:rowOff>
    </xdr:from>
    <xdr:to>
      <xdr:col>5</xdr:col>
      <xdr:colOff>1199655</xdr:colOff>
      <xdr:row>102</xdr:row>
      <xdr:rowOff>135713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EBF45DE4-975A-4446-B9BB-7AAAC75C7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6938" y="13175438"/>
          <a:ext cx="452628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871500</xdr:colOff>
      <xdr:row>11</xdr:row>
      <xdr:rowOff>14249</xdr:rowOff>
    </xdr:from>
    <xdr:to>
      <xdr:col>10</xdr:col>
      <xdr:colOff>944842</xdr:colOff>
      <xdr:row>52</xdr:row>
      <xdr:rowOff>166649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DB8185F9-894E-451E-B155-7CCBAB10D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7250" y="2705062"/>
          <a:ext cx="452628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46213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87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88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89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90</v>
      </c>
      <c r="D43" s="100"/>
      <c r="E43" s="73">
        <f t="shared" ref="E43:E50" si="0">+$D$5</f>
        <v>46213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91</v>
      </c>
      <c r="D44" s="100"/>
      <c r="E44" s="73">
        <f t="shared" si="0"/>
        <v>46213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92</v>
      </c>
      <c r="D45" s="100"/>
      <c r="E45" s="73">
        <f t="shared" si="0"/>
        <v>46213</v>
      </c>
      <c r="F45" s="77" t="s">
        <v>82</v>
      </c>
      <c r="G45" s="77">
        <v>1</v>
      </c>
      <c r="H45" s="96">
        <v>2851.48</v>
      </c>
      <c r="I45" s="96"/>
      <c r="J45" s="94">
        <f t="shared" si="1"/>
        <v>2851.48</v>
      </c>
      <c r="K45" s="94"/>
      <c r="L45" s="95"/>
    </row>
    <row r="46" spans="2:13" ht="25.15" customHeight="1" x14ac:dyDescent="0.25">
      <c r="B46" s="2">
        <v>4</v>
      </c>
      <c r="C46" s="99" t="s">
        <v>93</v>
      </c>
      <c r="D46" s="100"/>
      <c r="E46" s="73">
        <f t="shared" si="0"/>
        <v>46213</v>
      </c>
      <c r="F46" s="77" t="s">
        <v>82</v>
      </c>
      <c r="G46" s="77">
        <v>1</v>
      </c>
      <c r="H46" s="96">
        <v>2851.48</v>
      </c>
      <c r="I46" s="96"/>
      <c r="J46" s="94">
        <f t="shared" ref="J46:J52" si="2">+H46*G46</f>
        <v>2851.48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6"/>
      <c r="G47" s="76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6"/>
      <c r="G48" s="76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99"/>
      <c r="D49" s="100"/>
      <c r="E49" s="73"/>
      <c r="F49" s="76"/>
      <c r="G49" s="76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99"/>
      <c r="D50" s="100"/>
      <c r="E50" s="73"/>
      <c r="F50" s="76"/>
      <c r="G50" s="76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13955.919999999998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85</v>
      </c>
      <c r="D56" s="84"/>
      <c r="E56" s="73">
        <f>+E43</f>
        <v>46213</v>
      </c>
      <c r="F56" s="48" t="s">
        <v>86</v>
      </c>
      <c r="G56" s="48">
        <v>26.4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13955.919999999998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F59" sqref="F59:H5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46213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191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C3 / 0.20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2026-07-11T05:40:02Z</cp:lastPrinted>
  <dcterms:created xsi:type="dcterms:W3CDTF">2014-05-26T07:40:11Z</dcterms:created>
  <dcterms:modified xsi:type="dcterms:W3CDTF">2026-07-11T05:40:06Z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