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F9E92C9-1A21-4021-98CF-9F863824557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43" i="1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<sst xmlns="http://schemas.openxmlformats.org/spreadsheetml/2006/main" count="105" uniqueCount="88">
  <si>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</si>
  <si>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</si>
  <si>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</si>
  <si>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</si>
  <si>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</si>
  <si>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</si>
  <si>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</si>
  <si>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</si>
  <si>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</si>
  <si>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</si>
  <si>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</si>
  <si>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</si>
  <si>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</si>
  <si>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</si>
  <si>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</si>
  <si>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</si>
  <si>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</si>
  <si>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</si>
  <si>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</si>
  <si>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</si>
  <si>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</si>
  <si>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</si>
  <si>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</si>
  <si>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</si>
  <si>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</si>
  <si>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</si>
  <si>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</si>
  <si>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</si>
  <si>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</si>
  <si>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</si>
  <si>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</si>
  <si>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</si>
  <si>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</si>
  <si>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</si>
  <si>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</si>
  <si>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</si>
  <si>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</si>
  <si>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</si>
  <si>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</si>
  <si>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</si>
  <si>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</si>
  <si>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</si>
  <si>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</si>
  <si>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</si>
  <si>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</si>
  <si>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</si>
  <si>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</si>
  <si>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</si>
  <si>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</si>
  <si>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</si>
  <si>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</si>
  <si>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</si>
  <si>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</si>
  <si>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</si>
  <si>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</si>
  <si>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</si>
  <si>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</si>
  <si>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</si>
  <si>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</si>
  <si>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</si>
  <si>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</si>
  <si>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</si>
  <si>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</si>
  <si>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</si>
  <si>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</si>
  <si>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</si>
  <si>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</si>
  <si>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</si>
  <si>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</si>
  <si>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</si>
  <si>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</si>
  <si>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</si>
  <si>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</si>
  <si>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</si>
  <si>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</si>
  <si>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</si>
  <si>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</si>
  <si>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</si>
  <si>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</si>
  <si>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</si>
  <si>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</si>
  <si>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</si>
  <si>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</si>
  <si>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</si>
  <si>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026</t>
  </si>
  <si>
    <t>C6/-4.80/C-AZ-389</t>
  </si>
  <si>
    <t xml:space="preserve">C6 Blok -4.80 kotu C-AZ-389 mahalinde yapılan alçı sıva imalatı, elektrik çalışmaları sırasında zarar görmüş olup tamiratları tarafımızca yapılmıştır. </t>
  </si>
  <si>
    <t>MUSTAFA ATMACA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</si>
</sst>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1666875</xdr:colOff>
      <xdr:row>14</xdr:row>
      <xdr:rowOff>238125</xdr:rowOff>
    </xdr:from>
    <xdr:to>
      <xdr:col>9</xdr:col>
      <xdr:colOff>61913</xdr:colOff>
      <xdr:row>54</xdr:row>
      <xdr:rowOff>223837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0035771-02B7-4A0D-A7F9-159C91EF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0688" y="3381375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zoomScale="70" zoomScaleNormal="70" zoomScaleSheetLayoutView="70" workbookViewId="0">
      <selection activeCell="E19" sqref="E1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46010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84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5" t="s">
        <v>17</v>
      </c>
      <c r="C15" s="105"/>
      <c r="D15" s="106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5"/>
      <c r="C16" s="105"/>
      <c r="D16" s="106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5"/>
      <c r="C17" s="105"/>
      <c r="D17" s="10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5"/>
      <c r="C18" s="105"/>
      <c r="D18" s="106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5"/>
      <c r="C19" s="105"/>
      <c r="D19" s="106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5"/>
      <c r="C20" s="105"/>
      <c r="D20" s="106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5"/>
      <c r="C21" s="105"/>
      <c r="D21" s="106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5"/>
      <c r="C22" s="105"/>
      <c r="D22" s="106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5"/>
      <c r="C23" s="105"/>
      <c r="D23" s="106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5"/>
      <c r="C24" s="105"/>
      <c r="D24" s="106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5"/>
      <c r="C25" s="105"/>
      <c r="D25" s="106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5" t="s">
        <v>23</v>
      </c>
      <c r="C27" s="105"/>
      <c r="D27" s="10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5"/>
      <c r="C28" s="105"/>
      <c r="D28" s="106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5"/>
      <c r="C29" s="105"/>
      <c r="D29" s="106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5"/>
      <c r="C30" s="105"/>
      <c r="D30" s="106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5"/>
      <c r="C31" s="105"/>
      <c r="D31" s="106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5"/>
      <c r="C32" s="105"/>
      <c r="D32" s="10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5"/>
      <c r="C33" s="105"/>
      <c r="D33" s="10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5"/>
      <c r="C34" s="105"/>
      <c r="D34" s="10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5"/>
      <c r="C35" s="105"/>
      <c r="D35" s="10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5"/>
      <c r="C36" s="105"/>
      <c r="D36" s="10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8"/>
      <c r="I41" s="88"/>
      <c r="J41" s="88"/>
      <c r="K41" s="88"/>
      <c r="L41" s="8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87</v>
      </c>
      <c r="D43" s="108"/>
      <c r="E43" s="61">
        <f>D$5</f>
        <v>46010</v>
      </c>
      <c r="F43" s="48" t="s">
        <v>82</v>
      </c>
      <c r="G43" s="48">
        <v>1</v>
      </c>
      <c r="H43" s="92"/>
      <c r="I43" s="92"/>
      <c r="J43" s="85">
        <f>+H43*G43</f>
        <v>0</v>
      </c>
      <c r="K43" s="86"/>
      <c r="L43" s="87"/>
    </row>
    <row r="44" spans="2:13" ht="25.15" customHeight="1" x14ac:dyDescent="0.25">
      <c r="B44" s="2">
        <v>2</v>
      </c>
      <c r="C44" s="103"/>
      <c r="D44" s="104"/>
      <c r="E44" s="61"/>
      <c r="F44" s="60"/>
      <c r="G44" s="60"/>
      <c r="H44" s="92"/>
      <c r="I44" s="92"/>
      <c r="J44" s="85">
        <f t="shared" ref="J44:J55" si="0">+H44*G44</f>
        <v>0</v>
      </c>
      <c r="K44" s="86"/>
      <c r="L44" s="87"/>
    </row>
    <row r="45" spans="2:13" ht="25.15" customHeight="1" x14ac:dyDescent="0.25">
      <c r="B45" s="2">
        <v>3</v>
      </c>
      <c r="C45" s="103"/>
      <c r="D45" s="104"/>
      <c r="E45" s="61"/>
      <c r="F45" s="83"/>
      <c r="G45" s="83"/>
      <c r="H45" s="92"/>
      <c r="I45" s="92"/>
      <c r="J45" s="85">
        <f t="shared" si="0"/>
        <v>0</v>
      </c>
      <c r="K45" s="86"/>
      <c r="L45" s="87"/>
    </row>
    <row r="46" spans="2:13" ht="25.15" customHeight="1" x14ac:dyDescent="0.25">
      <c r="B46" s="2">
        <v>4</v>
      </c>
      <c r="C46" s="103"/>
      <c r="D46" s="104"/>
      <c r="E46" s="61"/>
      <c r="F46" s="83"/>
      <c r="G46" s="83"/>
      <c r="H46" s="85"/>
      <c r="I46" s="86"/>
      <c r="J46" s="85">
        <f t="shared" si="0"/>
        <v>0</v>
      </c>
      <c r="K46" s="86"/>
      <c r="L46" s="87"/>
    </row>
    <row r="47" spans="2:13" ht="25.15" customHeight="1" thickBot="1" x14ac:dyDescent="0.3">
      <c r="B47" s="2">
        <v>5</v>
      </c>
      <c r="C47" s="102"/>
      <c r="D47" s="86"/>
      <c r="E47" s="61"/>
      <c r="F47" s="83"/>
      <c r="G47" s="83"/>
      <c r="H47" s="85"/>
      <c r="I47" s="86"/>
      <c r="J47" s="85">
        <f t="shared" si="0"/>
        <v>0</v>
      </c>
      <c r="K47" s="86"/>
      <c r="L47" s="87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8"/>
      <c r="I49" s="88"/>
      <c r="J49" s="88"/>
      <c r="K49" s="88"/>
      <c r="L49" s="8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0" t="s">
        <v>4</v>
      </c>
      <c r="I50" s="90"/>
      <c r="J50" s="90" t="s">
        <v>5</v>
      </c>
      <c r="K50" s="90"/>
      <c r="L50" s="91"/>
    </row>
    <row r="51" spans="2:12" ht="25.15" customHeight="1" x14ac:dyDescent="0.25">
      <c r="B51" s="2">
        <v>1</v>
      </c>
      <c r="C51" s="102"/>
      <c r="D51" s="86"/>
      <c r="E51" s="61"/>
      <c r="F51" s="79"/>
      <c r="G51" s="48"/>
      <c r="H51" s="85"/>
      <c r="I51" s="86"/>
      <c r="J51" s="85">
        <f t="shared" si="0"/>
        <v>0</v>
      </c>
      <c r="K51" s="86"/>
      <c r="L51" s="87"/>
    </row>
    <row r="52" spans="2:12" ht="25.15" customHeight="1" x14ac:dyDescent="0.25">
      <c r="B52" s="2">
        <v>2</v>
      </c>
      <c r="C52" s="102"/>
      <c r="D52" s="86"/>
      <c r="E52" s="61"/>
      <c r="F52" s="84"/>
      <c r="G52" s="84"/>
      <c r="H52" s="85"/>
      <c r="I52" s="86"/>
      <c r="J52" s="85">
        <f t="shared" si="0"/>
        <v>0</v>
      </c>
      <c r="K52" s="86"/>
      <c r="L52" s="87"/>
    </row>
    <row r="53" spans="2:12" ht="25.15" customHeight="1" x14ac:dyDescent="0.25">
      <c r="B53" s="2">
        <v>3</v>
      </c>
      <c r="C53" s="102"/>
      <c r="D53" s="86"/>
      <c r="E53" s="61"/>
      <c r="F53" s="48"/>
      <c r="G53" s="48"/>
      <c r="H53" s="85"/>
      <c r="I53" s="86"/>
      <c r="J53" s="85">
        <f t="shared" si="0"/>
        <v>0</v>
      </c>
      <c r="K53" s="86"/>
      <c r="L53" s="87"/>
    </row>
    <row r="54" spans="2:12" ht="25.15" customHeight="1" x14ac:dyDescent="0.25">
      <c r="B54" s="2">
        <v>4</v>
      </c>
      <c r="C54" s="102"/>
      <c r="D54" s="86"/>
      <c r="E54" s="61"/>
      <c r="F54" s="82"/>
      <c r="G54" s="48"/>
      <c r="H54" s="85"/>
      <c r="I54" s="86"/>
      <c r="J54" s="85">
        <f t="shared" si="0"/>
        <v>0</v>
      </c>
      <c r="K54" s="86"/>
      <c r="L54" s="87"/>
    </row>
    <row r="55" spans="2:12" ht="25.15" customHeight="1" thickBot="1" x14ac:dyDescent="0.3">
      <c r="B55" s="2">
        <v>5</v>
      </c>
      <c r="C55" s="102"/>
      <c r="D55" s="86"/>
      <c r="E55" s="47"/>
      <c r="F55" s="48"/>
      <c r="G55" s="48"/>
      <c r="H55" s="85"/>
      <c r="I55" s="86"/>
      <c r="J55" s="85">
        <f t="shared" si="0"/>
        <v>0</v>
      </c>
      <c r="K55" s="86"/>
      <c r="L55" s="87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3" t="s">
        <v>15</v>
      </c>
      <c r="C59" s="94"/>
      <c r="D59" s="94"/>
      <c r="E59" s="100"/>
      <c r="F59" s="94" t="s">
        <v>14</v>
      </c>
      <c r="G59" s="94"/>
      <c r="H59" s="100"/>
      <c r="I59" s="93" t="s">
        <v>22</v>
      </c>
      <c r="J59" s="94"/>
      <c r="K59" s="94"/>
      <c r="L59" s="9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1" t="s">
        <v>27</v>
      </c>
      <c r="C70" s="94"/>
      <c r="D70" s="94"/>
      <c r="E70" s="100"/>
      <c r="F70" s="94" t="s">
        <v>68</v>
      </c>
      <c r="G70" s="94"/>
      <c r="H70" s="100"/>
      <c r="I70" s="93" t="s">
        <v>31</v>
      </c>
      <c r="J70" s="94"/>
      <c r="K70" s="94"/>
      <c r="L70" s="95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4"/>
      <c r="D81" s="94"/>
      <c r="E81" s="100"/>
      <c r="F81" s="94" t="s">
        <v>64</v>
      </c>
      <c r="G81" s="94"/>
      <c r="H81" s="10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4"/>
      <c r="D91" s="94"/>
      <c r="E91" s="100"/>
      <c r="F91" s="94" t="s">
        <v>32</v>
      </c>
      <c r="G91" s="94"/>
      <c r="H91" s="100"/>
      <c r="I91" s="93" t="s">
        <v>28</v>
      </c>
      <c r="J91" s="94"/>
      <c r="K91" s="94"/>
      <c r="L91" s="9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topLeftCell="A4" zoomScale="40" zoomScaleNormal="70" zoomScaleSheetLayoutView="40" workbookViewId="0">
      <selection activeCell="I23" sqref="I23:K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46010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026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C6/-4.80/C-AZ-389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188"/>
      <c r="C15" s="188"/>
      <c r="D15" s="188"/>
      <c r="E15" s="62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2"/>
      <c r="F19" s="62"/>
      <c r="G19" s="62"/>
      <c r="H19" s="62"/>
      <c r="I19" s="185"/>
      <c r="J19" s="185"/>
      <c r="K19" s="185"/>
      <c r="L19" s="62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2"/>
      <c r="F21" s="62"/>
      <c r="G21" s="62"/>
      <c r="H21" s="62"/>
      <c r="I21" s="185"/>
      <c r="J21" s="185"/>
      <c r="K21" s="185"/>
      <c r="L21" s="62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2"/>
      <c r="F23" s="187"/>
      <c r="G23" s="187"/>
      <c r="H23" s="187"/>
      <c r="I23" s="185"/>
      <c r="J23" s="185"/>
      <c r="K23" s="185"/>
      <c r="L23" s="62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2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4"/>
      <c r="C26" s="64"/>
      <c r="D26" s="64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188"/>
      <c r="C33" s="188"/>
      <c r="D33" s="188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188"/>
      <c r="C34" s="188"/>
      <c r="D34" s="188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188"/>
      <c r="C35" s="188"/>
      <c r="D35" s="188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188"/>
      <c r="C36" s="188"/>
      <c r="D36" s="188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2"/>
      <c r="I41" s="192"/>
      <c r="J41" s="192"/>
      <c r="K41" s="192"/>
      <c r="L41" s="192"/>
    </row>
    <row r="42" spans="2:13" ht="25.15" customHeight="1" x14ac:dyDescent="0.25">
      <c r="B42" s="80"/>
      <c r="C42" s="69"/>
      <c r="D42" s="80"/>
      <c r="E42" s="80"/>
      <c r="F42" s="80"/>
      <c r="G42" s="80"/>
      <c r="H42" s="192"/>
      <c r="I42" s="192"/>
      <c r="J42" s="192"/>
      <c r="K42" s="192"/>
      <c r="L42" s="192"/>
    </row>
    <row r="43" spans="2:13" ht="25.15" customHeight="1" x14ac:dyDescent="0.25">
      <c r="B43" s="70"/>
      <c r="C43" s="193"/>
      <c r="D43" s="193"/>
      <c r="E43" s="71"/>
      <c r="F43" s="81"/>
      <c r="G43" s="81"/>
      <c r="H43" s="194"/>
      <c r="I43" s="194"/>
      <c r="J43" s="195"/>
      <c r="K43" s="193"/>
      <c r="L43" s="193"/>
    </row>
    <row r="44" spans="2:13" ht="25.15" customHeight="1" x14ac:dyDescent="0.25">
      <c r="B44" s="70"/>
      <c r="C44" s="193"/>
      <c r="D44" s="193"/>
      <c r="E44" s="72"/>
      <c r="F44" s="81"/>
      <c r="G44" s="81"/>
      <c r="H44" s="194"/>
      <c r="I44" s="194"/>
      <c r="J44" s="195"/>
      <c r="K44" s="193"/>
      <c r="L44" s="193"/>
    </row>
    <row r="45" spans="2:13" ht="25.15" customHeight="1" x14ac:dyDescent="0.25">
      <c r="B45" s="70"/>
      <c r="C45" s="193"/>
      <c r="D45" s="193"/>
      <c r="E45" s="72"/>
      <c r="F45" s="81"/>
      <c r="G45" s="81"/>
      <c r="H45" s="194"/>
      <c r="I45" s="194"/>
      <c r="J45" s="195"/>
      <c r="K45" s="193"/>
      <c r="L45" s="193"/>
    </row>
    <row r="46" spans="2:13" ht="25.15" customHeight="1" x14ac:dyDescent="0.25">
      <c r="B46" s="70"/>
      <c r="C46" s="193"/>
      <c r="D46" s="193"/>
      <c r="E46" s="73"/>
      <c r="F46" s="81"/>
      <c r="G46" s="81"/>
      <c r="H46" s="195"/>
      <c r="I46" s="193"/>
      <c r="J46" s="195"/>
      <c r="K46" s="193"/>
      <c r="L46" s="193"/>
    </row>
    <row r="47" spans="2:13" ht="25.15" customHeight="1" x14ac:dyDescent="0.25">
      <c r="B47" s="70"/>
      <c r="C47" s="193"/>
      <c r="D47" s="193"/>
      <c r="E47" s="72"/>
      <c r="F47" s="81"/>
      <c r="G47" s="81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80"/>
      <c r="C49" s="69"/>
      <c r="D49" s="80"/>
      <c r="E49" s="80"/>
      <c r="F49" s="80"/>
      <c r="G49" s="80"/>
      <c r="H49" s="192"/>
      <c r="I49" s="192"/>
      <c r="J49" s="192"/>
      <c r="K49" s="192"/>
      <c r="L49" s="192"/>
    </row>
    <row r="50" spans="2:12" ht="25.15" customHeight="1" x14ac:dyDescent="0.25">
      <c r="B50" s="80"/>
      <c r="C50" s="69"/>
      <c r="D50" s="80"/>
      <c r="E50" s="80"/>
      <c r="F50" s="80"/>
      <c r="G50" s="80"/>
      <c r="H50" s="192"/>
      <c r="I50" s="192"/>
      <c r="J50" s="192"/>
      <c r="K50" s="192"/>
      <c r="L50" s="192"/>
    </row>
    <row r="51" spans="2:12" ht="25.15" customHeight="1" x14ac:dyDescent="0.25">
      <c r="B51" s="70"/>
      <c r="C51" s="193"/>
      <c r="D51" s="193"/>
      <c r="E51" s="72"/>
      <c r="F51" s="81"/>
      <c r="G51" s="81"/>
      <c r="H51" s="195"/>
      <c r="I51" s="193"/>
      <c r="J51" s="195"/>
      <c r="K51" s="193"/>
      <c r="L51" s="193"/>
    </row>
    <row r="52" spans="2:12" ht="25.15" customHeight="1" x14ac:dyDescent="0.25">
      <c r="B52" s="70"/>
      <c r="C52" s="193"/>
      <c r="D52" s="193"/>
      <c r="E52" s="72"/>
      <c r="F52" s="81"/>
      <c r="G52" s="81"/>
      <c r="H52" s="195"/>
      <c r="I52" s="193"/>
      <c r="J52" s="195"/>
      <c r="K52" s="193"/>
      <c r="L52" s="193"/>
    </row>
    <row r="53" spans="2:12" ht="25.15" customHeight="1" x14ac:dyDescent="0.25">
      <c r="B53" s="70"/>
      <c r="C53" s="193"/>
      <c r="D53" s="193"/>
      <c r="E53" s="72"/>
      <c r="F53" s="81"/>
      <c r="G53" s="81"/>
      <c r="H53" s="195"/>
      <c r="I53" s="193"/>
      <c r="J53" s="195"/>
      <c r="K53" s="193"/>
      <c r="L53" s="193"/>
    </row>
    <row r="54" spans="2:12" ht="25.15" customHeight="1" x14ac:dyDescent="0.25">
      <c r="B54" s="70"/>
      <c r="C54" s="193"/>
      <c r="D54" s="193"/>
      <c r="E54" s="72"/>
      <c r="F54" s="81"/>
      <c r="G54" s="81"/>
      <c r="H54" s="195"/>
      <c r="I54" s="193"/>
      <c r="J54" s="195"/>
      <c r="K54" s="193"/>
      <c r="L54" s="193"/>
    </row>
    <row r="55" spans="2:12" ht="25.15" customHeight="1" x14ac:dyDescent="0.25">
      <c r="B55" s="70"/>
      <c r="C55" s="193"/>
      <c r="D55" s="193"/>
      <c r="E55" s="72"/>
      <c r="F55" s="81"/>
      <c r="G55" s="81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8"/>
      <c r="G61" s="199"/>
      <c r="H61" s="199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9"/>
      <c r="G62" s="199"/>
      <c r="H62" s="199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8"/>
      <c r="G63" s="199"/>
      <c r="H63" s="199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9"/>
      <c r="G64" s="199"/>
      <c r="H64" s="199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7"/>
      <c r="J74" s="207"/>
      <c r="K74" s="207"/>
      <c r="L74" s="207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7"/>
      <c r="J75" s="207"/>
      <c r="K75" s="207"/>
      <c r="L75" s="207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5"/>
      <c r="D83" s="205"/>
      <c r="E83" s="205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5"/>
      <c r="D84" s="205"/>
      <c r="E84" s="205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5"/>
      <c r="D86" s="205"/>
      <c r="E86" s="205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5"/>
      <c r="D87" s="205"/>
      <c r="E87" s="205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5"/>
      <c r="D93" s="205"/>
      <c r="E93" s="205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5"/>
      <c r="D94" s="205"/>
      <c r="E94" s="205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5"/>
      <c r="D96" s="205"/>
      <c r="E96" s="205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5"/>
      <c r="D97" s="205"/>
      <c r="E97" s="205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6"/>
      <c r="D102" s="206"/>
      <c r="E102" s="206"/>
      <c r="F102" s="206"/>
      <c r="G102" s="206"/>
      <c r="H102" s="206"/>
      <c r="I102" s="206"/>
      <c r="J102" s="206"/>
      <c r="K102" s="206"/>
      <c r="L102" s="74"/>
    </row>
    <row r="103" spans="2:12" ht="16.149999999999999" customHeight="1" x14ac:dyDescent="0.25">
      <c r="B103" s="74"/>
      <c r="C103" s="206"/>
      <c r="D103" s="206"/>
      <c r="E103" s="206"/>
      <c r="F103" s="206"/>
      <c r="G103" s="206"/>
      <c r="H103" s="206"/>
      <c r="I103" s="206"/>
      <c r="J103" s="206"/>
      <c r="K103" s="206"/>
      <c r="L103" s="74"/>
    </row>
    <row r="104" spans="2:12" ht="16.149999999999999" customHeight="1" x14ac:dyDescent="0.25">
      <c r="B104" s="74"/>
      <c r="C104" s="206"/>
      <c r="D104" s="206"/>
      <c r="E104" s="206"/>
      <c r="F104" s="206"/>
      <c r="G104" s="206"/>
      <c r="H104" s="206"/>
      <c r="I104" s="206"/>
      <c r="J104" s="206"/>
      <c r="K104" s="206"/>
      <c r="L104" s="74"/>
    </row>
    <row r="105" spans="2:12" ht="16.149999999999999" customHeight="1" x14ac:dyDescent="0.25">
      <c r="B105" s="74"/>
      <c r="C105" s="206"/>
      <c r="D105" s="206"/>
      <c r="E105" s="206"/>
      <c r="F105" s="206"/>
      <c r="G105" s="206"/>
      <c r="H105" s="206"/>
      <c r="I105" s="206"/>
      <c r="J105" s="206"/>
      <c r="K105" s="206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2025-12-19T06:15:44Z</cp:lastPrinted>
  <dcterms:created xsi:type="dcterms:W3CDTF">2014-05-26T07:40:11Z</dcterms:created>
  <dcterms:modified xsi:type="dcterms:W3CDTF">2025-12-19T06:15:51Z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