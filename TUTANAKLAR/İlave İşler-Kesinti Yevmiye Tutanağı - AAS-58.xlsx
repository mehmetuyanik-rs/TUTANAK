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65E8DBB-61D3-4B8C-8463-46F142605E1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4" i="1"/>
  <c r="E51" i="1" s="1"/>
  <c r="E43" i="1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<sst xmlns="http://schemas.openxmlformats.org/spreadsheetml/2006/main" count="103" uniqueCount="92">
  <si>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</si>
  <si>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</si>
  <si>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</si>
  <si>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</si>
  <si>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</si>
  <si>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</si>
  <si>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</si>
  <si>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</si>
  <si>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</si>
  <si>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</si>
  <si>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</si>
  <si>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</si>
  <si>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</si>
  <si>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</si>
  <si>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</si>
  <si>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</si>
  <si>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</si>
  <si>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</si>
  <si>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</si>
  <si>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</si>
  <si>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</si>
  <si>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</si>
  <si>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</si>
  <si>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</si>
  <si>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</si>
  <si>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</si>
  <si>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</si>
  <si>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</si>
  <si>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</si>
  <si>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</si>
  <si>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</si>
  <si>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</si>
  <si>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</si>
  <si>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</si>
  <si>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</si>
  <si>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</si>
  <si>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</si>
  <si>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</si>
  <si>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</si>
  <si>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</si>
  <si>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</si>
  <si>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</si>
  <si>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</si>
  <si>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</si>
  <si>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</si>
  <si>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</si>
  <si>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</si>
  <si>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</si>
  <si>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</si>
  <si>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</si>
  <si>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</si>
  <si>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</si>
  <si>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</si>
  <si>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</si>
  <si>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</si>
  <si>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</si>
  <si>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</si>
  <si>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</si>
  <si>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</si>
  <si>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</si>
  <si>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</si>
  <si>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</si>
  <si>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</si>
  <si>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</si>
  <si>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</si>
  <si>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</si>
  <si>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</si>
  <si>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</si>
  <si>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</si>
  <si>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</si>
  <si>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</si>
  <si>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</si>
  <si>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</si>
  <si>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</si>
  <si>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</si>
  <si>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</si>
  <si>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</si>
  <si>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</si>
  <si>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</si>
  <si>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</si>
  <si>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</si>
  <si>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</si>
  <si>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</si>
  <si>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ARİF ARDIÇ (Usta)</t>
  </si>
  <si>
    <t>EJDER KURT (Usta)</t>
  </si>
  <si>
    <t>GALİP EDE (Usta Yardımcısı)</t>
  </si>
  <si>
    <t>fx ultra alçıpan</t>
  </si>
  <si>
    <t>m2</t>
  </si>
  <si>
    <t>TALİP AYAZ(Usta Yardımcısı)</t>
  </si>
  <si>
    <t>058</t>
  </si>
  <si>
    <t>C5/0.20</t>
  </si>
  <si>
    <t>C5 Blok 0.20 kotunda yapılan çalışmalar ve malzeme sirkülasyonu nedeniyle alçıpan duvarlarda kırıklar ve mastarından çıkmalar tespit edilmiştir. Saten alçı imalatının devam edebilmesi için oluşan hasarlar belirlenerek gerekli tamiratlar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</si>
</sst>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82" zoomScale="70" zoomScaleNormal="70" zoomScaleSheetLayoutView="70" workbookViewId="0">
      <selection activeCell="N93" sqref="N9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46092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89</v>
      </c>
      <c r="E7" s="91"/>
      <c r="F7" s="92"/>
      <c r="G7" s="42"/>
      <c r="H7" s="43" t="s">
        <v>34</v>
      </c>
      <c r="I7" s="93" t="s">
        <v>80</v>
      </c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81</v>
      </c>
      <c r="E9" s="94"/>
      <c r="F9" s="95"/>
      <c r="G9" s="42"/>
      <c r="H9" s="43" t="s">
        <v>36</v>
      </c>
      <c r="I9" s="93" t="s">
        <v>90</v>
      </c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7" t="s">
        <v>17</v>
      </c>
      <c r="C15" s="87"/>
      <c r="D15" s="88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7"/>
      <c r="C16" s="87"/>
      <c r="D16" s="88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7"/>
      <c r="C17" s="87"/>
      <c r="D17" s="8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7"/>
      <c r="C18" s="87"/>
      <c r="D18" s="88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7"/>
      <c r="C19" s="87"/>
      <c r="D19" s="88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7"/>
      <c r="C20" s="87"/>
      <c r="D20" s="88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7"/>
      <c r="C21" s="87"/>
      <c r="D21" s="88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7"/>
      <c r="C22" s="87"/>
      <c r="D22" s="88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7"/>
      <c r="C23" s="87"/>
      <c r="D23" s="88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7"/>
      <c r="C24" s="87"/>
      <c r="D24" s="88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7"/>
      <c r="C25" s="87"/>
      <c r="D25" s="88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7" t="s">
        <v>23</v>
      </c>
      <c r="C27" s="87"/>
      <c r="D27" s="8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7"/>
      <c r="C28" s="87"/>
      <c r="D28" s="88"/>
      <c r="E28" s="101" t="s">
        <v>91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7"/>
      <c r="C29" s="87"/>
      <c r="D29" s="88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7"/>
      <c r="C30" s="87"/>
      <c r="D30" s="88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7"/>
      <c r="C31" s="87"/>
      <c r="D31" s="88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7"/>
      <c r="C32" s="87"/>
      <c r="D32" s="8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7"/>
      <c r="C33" s="87"/>
      <c r="D33" s="8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7"/>
      <c r="C34" s="87"/>
      <c r="D34" s="8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7"/>
      <c r="C35" s="87"/>
      <c r="D35" s="8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7"/>
      <c r="C36" s="87"/>
      <c r="D36" s="8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5" t="s">
        <v>83</v>
      </c>
      <c r="D43" s="86"/>
      <c r="E43" s="59">
        <f>D$5</f>
        <v>46092</v>
      </c>
      <c r="F43" s="63" t="s">
        <v>82</v>
      </c>
      <c r="G43" s="63">
        <v>1</v>
      </c>
      <c r="H43" s="72"/>
      <c r="I43" s="72"/>
      <c r="J43" s="65">
        <f>+H43*G43</f>
        <v>0</v>
      </c>
      <c r="K43" s="66"/>
      <c r="L43" s="67"/>
    </row>
    <row r="44" spans="2:13" ht="25.15" customHeight="1" x14ac:dyDescent="0.25">
      <c r="B44" s="2">
        <v>2</v>
      </c>
      <c r="C44" s="85" t="s">
        <v>84</v>
      </c>
      <c r="D44" s="86"/>
      <c r="E44" s="59">
        <f>D$5</f>
        <v>46092</v>
      </c>
      <c r="F44" s="63" t="s">
        <v>82</v>
      </c>
      <c r="G44" s="63">
        <v>1</v>
      </c>
      <c r="H44" s="72"/>
      <c r="I44" s="72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83" t="s">
        <v>85</v>
      </c>
      <c r="D45" s="84"/>
      <c r="E45" s="59">
        <f>D$5</f>
        <v>46092</v>
      </c>
      <c r="F45" s="64" t="s">
        <v>82</v>
      </c>
      <c r="G45" s="64">
        <v>1</v>
      </c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 t="s">
        <v>88</v>
      </c>
      <c r="D46" s="84"/>
      <c r="E46" s="59">
        <f>D$5</f>
        <v>46092</v>
      </c>
      <c r="F46" s="64" t="s">
        <v>82</v>
      </c>
      <c r="G46" s="64">
        <v>1</v>
      </c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5"/>
      <c r="D47" s="86"/>
      <c r="E47" s="59"/>
      <c r="F47" s="64"/>
      <c r="G47" s="64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0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 t="s">
        <v>86</v>
      </c>
      <c r="D51" s="66"/>
      <c r="E51" s="59">
        <f>E44</f>
        <v>46092</v>
      </c>
      <c r="F51" s="60" t="s">
        <v>87</v>
      </c>
      <c r="G51" s="48">
        <v>25</v>
      </c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59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59"/>
      <c r="F53" s="62"/>
      <c r="G53" s="62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59"/>
      <c r="F54" s="61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0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2026-03-14T12:06:21Z</cp:lastPrinted>
  <dcterms:created xsi:type="dcterms:W3CDTF">2014-05-26T07:40:11Z</dcterms:created>
  <dcterms:modified xsi:type="dcterms:W3CDTF">2026-03-14T12:09:57Z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