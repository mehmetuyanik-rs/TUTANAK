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0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URKAN\ANKARA ADALET SARAYI\5-TUTANAKLAR\1-İLAVE İŞLER TUTANAĞI\150\"/>
    </mc:Choice>
  </mc:AlternateContent>
  <xr:revisionPtr revIDLastSave="0" documentId="13_ncr:1_{156FEC9C-F083-4CB2-98CA-2E36EA7D9889}" xr6:coauthVersionLast="47" xr6:coauthVersionMax="47" xr10:uidLastSave="{00000000-0000-0000-0000-000000000000}"/>
  <bookViews>
    <workbookView xWindow="26340" yWindow="2715" windowWidth="14220" windowHeight="8655" activeTab="1" xr2:uid="{00000000-000D-0000-FFFF-FFFF00000000}"/>
  </bookViews>
  <sheets>
    <sheet name="İşleyiş Prosedürü" sheetId="2" r:id="rId1"/>
    <sheet name="İLAVE İS TUT." sheetId="1" r:id="rId2"/>
    <sheet name="İLAVE İS TUT. (2)" sheetId="4" r:id="rId3"/>
  </sheets>
  <definedNames>
    <definedName name="_xlnm.Print_Area" localSheetId="1">'İLAVE İS TUT.'!$B$2:$L$111</definedName>
    <definedName name="_xlnm.Print_Area" localSheetId="2">'İLAVE İS TUT. (2)'!$B$2:$L$105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56" i="1" l="1"/>
  <c r="D7" i="4" l="1"/>
  <c r="I9" i="4" l="1"/>
  <c r="D5" i="4"/>
  <c r="J60" i="1" l="1"/>
  <c r="J59" i="1"/>
  <c r="J58" i="1"/>
  <c r="J57" i="1"/>
  <c r="J56" i="1"/>
  <c r="J52" i="1"/>
  <c r="J50" i="1"/>
  <c r="J45" i="1"/>
  <c r="J44" i="1"/>
  <c r="J43" i="1"/>
  <c r="J61" i="1" l="1"/>
  <c r="J53" i="1"/>
  <c r="J62" i="1" l="1"/>
</calcChain>
</file>

<file path=xl/sharedStrings.xml><?xml version="1.0" encoding="utf-8"?>
<sst xmlns="http://schemas.openxmlformats.org/spreadsheetml/2006/main" count="118" uniqueCount="96">
  <si>
    <t>No</t>
  </si>
  <si>
    <t>İşin Cinsi (İşçilik, Malzeme, Ekipman)</t>
  </si>
  <si>
    <t>Birim</t>
  </si>
  <si>
    <t>Miktar</t>
  </si>
  <si>
    <t>Birim Fiyat</t>
  </si>
  <si>
    <t>Toplam Fiyat</t>
  </si>
  <si>
    <t xml:space="preserve">Genel Toplam   </t>
  </si>
  <si>
    <t>Başka bir altyüklenici hatası. Kesinti yapılacak firma :</t>
  </si>
  <si>
    <t>Tarih:</t>
  </si>
  <si>
    <t>Tutanak No:</t>
  </si>
  <si>
    <t>Alt Yüklenici:</t>
  </si>
  <si>
    <t>İlave İşin Tanımı:</t>
  </si>
  <si>
    <t>Ekler:</t>
  </si>
  <si>
    <t>1. Ataşmanlar (Çizimler)</t>
  </si>
  <si>
    <t>KESİNTİ YAPILACAK ALT YÜKLENİCİ</t>
  </si>
  <si>
    <t>İLAVE İŞİ YAPAN ALT YÜKLENİCİ</t>
  </si>
  <si>
    <t>İmalatlara verilen zarar. Kesinti yapılacak firma :</t>
  </si>
  <si>
    <r>
      <t xml:space="preserve">İlave İşin Gerekçesi : 
</t>
    </r>
    <r>
      <rPr>
        <i/>
        <sz val="10"/>
        <color rgb="FFFF0000"/>
        <rFont val="Arial"/>
        <family val="2"/>
        <charset val="162"/>
      </rPr>
      <t>* Rönesans uygulama sorumlusu tarafından doldurulacaktır.</t>
    </r>
    <r>
      <rPr>
        <b/>
        <sz val="11"/>
        <color theme="1"/>
        <rFont val="Arial"/>
        <family val="2"/>
        <charset val="162"/>
      </rPr>
      <t xml:space="preserve">
</t>
    </r>
  </si>
  <si>
    <t xml:space="preserve">             3. Diğer Belgeler (e-posta v.b)</t>
  </si>
  <si>
    <t>* Yüklenici tarafından doldurulacaktır.</t>
  </si>
  <si>
    <t>* Rönesans uygulama sorumlusu tarafından doldurulacaktır.</t>
  </si>
  <si>
    <t>* Mahal kodu belirtilmeyen tutanaklar işleme alınmayacaktır.</t>
  </si>
  <si>
    <t>RÖNESANS UYGULAMA SORUMLUSU</t>
  </si>
  <si>
    <r>
      <t>Açıklama :</t>
    </r>
    <r>
      <rPr>
        <b/>
        <i/>
        <sz val="10"/>
        <color rgb="FFFF0000"/>
        <rFont val="Arial"/>
        <family val="2"/>
        <charset val="162"/>
      </rPr>
      <t/>
    </r>
  </si>
  <si>
    <t>RÖNESANS TEKNİK OFİS PERSONELİ</t>
  </si>
  <si>
    <t>* İlave işin gerekçesi proje revizyonu olarak belirtilen durumlarda Rönesans Dizayn Ofis Şefi imzası alınmayan tutanaklar işleme alınmayacaktır.</t>
  </si>
  <si>
    <t>Başka bir altyüklenici nam-ı hesabına iş. Kesinti yapılacak firma :</t>
  </si>
  <si>
    <t>ŞANTİYE ŞEFİ</t>
  </si>
  <si>
    <t>PROJE MÜDÜRÜ</t>
  </si>
  <si>
    <t xml:space="preserve">     Kesinti yapılacak alt yüklenici 
        imza atmaktan imtina etmiştir.</t>
  </si>
  <si>
    <t xml:space="preserve">                        2. Fotoğraflar</t>
  </si>
  <si>
    <t>DİZAYN OFİS</t>
  </si>
  <si>
    <t>PROJE MÜDÜR YARDIMCISI (TEKNİK OFİS)</t>
  </si>
  <si>
    <t>İşin Gerçekleşme Tarihi</t>
  </si>
  <si>
    <t>Bina:</t>
  </si>
  <si>
    <t>Proje Adı:</t>
  </si>
  <si>
    <t>Blok / Kat / Mahal</t>
  </si>
  <si>
    <t>Kapsam dışı ilave işler</t>
  </si>
  <si>
    <t>Rönesans süpervizyon hatası. Altyüklenicilerden rücu edilmeyecek.</t>
  </si>
  <si>
    <t>Proje revizyonu</t>
  </si>
  <si>
    <t>* İşçilik yevmiyelerinde şahısın usta yada usta yardımcısı olduğu belirtilmelidir. Örnek: Ahmet Yılmaz (Usta) veya Ali Demir (Usta Yardımcısı) gibi</t>
  </si>
  <si>
    <t>İLAVE İŞLER TUTANAĞI İŞLEYİŞ PROSEDÜRÜ</t>
  </si>
  <si>
    <t>İlave işler tutanağı yüklenici tarafından hazırlanır. (3 gün içinde)</t>
  </si>
  <si>
    <t>Proje revizyonundan kaynaklı bir tutanak ise Dizayn Ofisin imzası alınır.</t>
  </si>
  <si>
    <t>Tutanakta diğer birimlere ait kesinti var ise Şantiye Şefinin imzasından sonra Elektrik ve Mekanik birim şeflerinin imzasına sunulur.</t>
  </si>
  <si>
    <t>Proje müdürünün imzasından sonra tutanak üzerindeki değişiklikler Teknik Ofis tarafından kontrol edilir ve kesin kayıt yapılır.</t>
  </si>
  <si>
    <t>1.</t>
  </si>
  <si>
    <t>2.</t>
  </si>
  <si>
    <t>3.</t>
  </si>
  <si>
    <t>4.</t>
  </si>
  <si>
    <t>5.</t>
  </si>
  <si>
    <t>6.</t>
  </si>
  <si>
    <t>7.</t>
  </si>
  <si>
    <t>8.</t>
  </si>
  <si>
    <t>9.</t>
  </si>
  <si>
    <t>Örnek ilave işler tutanağı bu dosyanın ikinci sayfasındadır.</t>
  </si>
  <si>
    <t>ELEKTRİK İŞLERİ</t>
  </si>
  <si>
    <t>PROJE MÜDÜR YARDIMCISI (SAHA)</t>
  </si>
  <si>
    <t>İlk imzaları Rönesans Uygulama Sorumlusu (İşi Yaptıran) ve Şantiye Şefi atar.</t>
  </si>
  <si>
    <t>Teknik ofisin imzasından sonra Tutanak sırasıyla PMY – PM imzalarına çıkarılır.</t>
  </si>
  <si>
    <t xml:space="preserve">Tutanak PMY'lerin imzasına gelene kadar süreçleri Yüklenici takip edecektir. </t>
  </si>
  <si>
    <t>ŞŞ imzasından sonra tutanak Teknik Ofise gelir. Tutanak numarası verilir. Tutanak ilave işler takip tablosuna işlenir. (İşin gerçekleşme tarihinden sonra 7 gün içinde teknik ofise ulaşmayan tutanaklar işleme alınmayacaktır.)</t>
  </si>
  <si>
    <t>Altyüklenici sözleşmesinde yer alan mevcut pozlardan hakedişe 
eklenmesi uygundur.</t>
  </si>
  <si>
    <t>Altyüklenici sözleşmesinde bu imalat karşılığı poz yoktur.</t>
  </si>
  <si>
    <t>TEKNİK OFİS ŞEFİ</t>
  </si>
  <si>
    <t>ANKARA ADALET SARAYI YAPIM İŞİ</t>
  </si>
  <si>
    <t>İLAVE İŞLER / KESİNTİ - YEVMİYE TUTANAĞI</t>
  </si>
  <si>
    <t>MEKANİK  İŞLERİ</t>
  </si>
  <si>
    <t>PERSONEL VE ÇALIŞMA İLİŞKİLERİ BİRİMİ</t>
  </si>
  <si>
    <t>A)</t>
  </si>
  <si>
    <t>B)</t>
  </si>
  <si>
    <t>***REC TARAFINDAN TEMİN EDİLEN MALZEME / İŞÇİLİK KALEMLERİ</t>
  </si>
  <si>
    <t xml:space="preserve">***İLAVE İŞLERE KONU ALTYÜKLENİCİ FİRMA TARAFINDAN ALINAN MALZEME / İŞÇİLİK KALEMLERİ </t>
  </si>
  <si>
    <t>***Bu tutanak yapılan imalatlar sırasında gerçekleşen işçilik ve malzeme miktarının tespiti için hazırlanmıştır. Birim fiyatlar Rönesans teknik ofis personeli tarafından imalatı yapan altyüklenicinin sözleşmesine göre hakedişe işlenecektir. Tutanak tarihinden itibaren 7 gün içerisinde Rönesans teknik ofis personeline teslim edilmelidir, vaktinde teslim edilmeyen tutanaklar işleme alınmayacaktır.
***Bu tutanaktaki " A) ***İLAVE İŞLERE KONU ALTYÜKLENİCİ FİRMA TARAFINDAN ALINAN MALZEME / İŞÇİLİK KALEMLERİ " ALTYÜKLENİCİ FİRMAYA ÖDENECEKTİR.Aynı şekilde " B) ******REC TARAFINDAN TEMİN EDİLEN MALZEME / İŞÇİLİK KALEMLERİ " ALTYÜKLENİCİ FİRMAYA ÖDENMEYECEKTİR.</t>
  </si>
  <si>
    <t xml:space="preserve"> Ara Toplam</t>
  </si>
  <si>
    <t>* Tutanağa konu ödeme kalemlerinde YEVMİYE ödemesi bulunması durumunda "PERSONEL VE ÇALIŞMA İLİŞKİLERİ" birimi tarafından imzalanması gerekmekte olup imzalanmamış tutanaklar işleme alınmayacaktır.</t>
  </si>
  <si>
    <t>10.</t>
  </si>
  <si>
    <r>
      <t xml:space="preserve">Ödeme kalemlerinde YEVMİYE üzeinden hesap bulunması durumun da </t>
    </r>
    <r>
      <rPr>
        <b/>
        <sz val="11"/>
        <color theme="1"/>
        <rFont val="Calibri"/>
        <family val="2"/>
        <scheme val="minor"/>
      </rPr>
      <t xml:space="preserve">"PERSONEL VE ÇALIŞMA İLİŞKİLERİ BİRİMİ" </t>
    </r>
    <r>
      <rPr>
        <sz val="11"/>
        <color theme="1"/>
        <rFont val="Calibri"/>
        <family val="2"/>
        <scheme val="minor"/>
      </rPr>
      <t xml:space="preserve">tarafından imzaltılmayan tutanklar işleme alınmayacaktır. </t>
    </r>
  </si>
  <si>
    <t>11.</t>
  </si>
  <si>
    <r>
      <t xml:space="preserve">REC bünyesinde yapılan malzeme ve işçilik kalemleri bulunması durumunda ekli tutanağa işlenecek </t>
    </r>
    <r>
      <rPr>
        <b/>
        <sz val="11"/>
        <color theme="1"/>
        <rFont val="Calibri"/>
        <family val="2"/>
        <scheme val="minor"/>
      </rPr>
      <t xml:space="preserve">İlave İşi Yapan firmaya ödeme yapılmayacaktır. </t>
    </r>
  </si>
  <si>
    <t>C BLOK</t>
  </si>
  <si>
    <t>Sülser Müh. İnş Nak. Elk. Mek. San. Ve Tic. Ltd. Şti.</t>
  </si>
  <si>
    <t>Yevmiye</t>
  </si>
  <si>
    <t>İLAVE İŞLER / KESİNTİ - YEVMİYE TUTANAĞI EK</t>
  </si>
  <si>
    <t xml:space="preserve"> </t>
  </si>
  <si>
    <t>AHMET TATLİ(USTA)</t>
  </si>
  <si>
    <t>OKAN ALBAYOĞLU(USTA)</t>
  </si>
  <si>
    <t>C-Z-359/360</t>
  </si>
  <si>
    <t>C-Z-359/360 ODALARINDA AKSINDAN ÇIKAN ALÇIPAN DUVAR ALÇIPANLARI SÖKÜLEREK YENİDEN İMALATI YAPILMIŞTIR. MAHALDE SATEN İMALATI SONLANMASI SEBEBİYLE YENİDEN SATEN İŞLERİ YAPILMIŞTIR.</t>
  </si>
  <si>
    <t>FX ULTRA ALÇIPAN</t>
  </si>
  <si>
    <t>M2</t>
  </si>
  <si>
    <t>MEHMET SİNAN MENCİK(USTA)</t>
  </si>
  <si>
    <t>İBRAHİM MENCİK(USTA)</t>
  </si>
  <si>
    <t>MUHAMMED ÇALAĞAN(USTA)</t>
  </si>
  <si>
    <t>MUSTAFA ÇALAĞAN(USTA YARDIMCISI)</t>
  </si>
  <si>
    <t>150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</si>
</sst>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\ &quot;TL&quot;;[Red]\-#,##0\ &quot;TL&quot;"/>
    <numFmt numFmtId="165" formatCode="#,##0.00\ &quot;TL&quot;;[Red]\-#,##0.00\ &quot;TL&quot;"/>
    <numFmt numFmtId="166" formatCode="#,##0.00\ &quot;TL&quot;"/>
  </numFmts>
  <fonts count="17" x14ac:knownFonts="1">
    <font>
      <sz val="11"/>
      <color theme="1"/>
      <name val="Calibri"/>
      <family val="2"/>
      <charset val="162"/>
      <scheme val="minor"/>
    </font>
    <font>
      <sz val="11"/>
      <color theme="1"/>
      <name val="Arial"/>
      <family val="2"/>
      <charset val="162"/>
    </font>
    <font>
      <b/>
      <sz val="20"/>
      <color theme="1"/>
      <name val="Arial"/>
      <family val="2"/>
      <charset val="162"/>
    </font>
    <font>
      <b/>
      <sz val="11"/>
      <color theme="1"/>
      <name val="Arial"/>
      <family val="2"/>
      <charset val="162"/>
    </font>
    <font>
      <sz val="12"/>
      <color theme="0"/>
      <name val="Arial"/>
      <family val="2"/>
      <charset val="162"/>
    </font>
    <font>
      <b/>
      <sz val="11"/>
      <color theme="0"/>
      <name val="Arial"/>
      <family val="2"/>
      <charset val="162"/>
    </font>
    <font>
      <i/>
      <sz val="10"/>
      <color rgb="FFFF0000"/>
      <name val="Arial"/>
      <family val="2"/>
      <charset val="162"/>
    </font>
    <font>
      <i/>
      <sz val="11"/>
      <color rgb="FFFF0000"/>
      <name val="Calibri"/>
      <family val="2"/>
      <charset val="162"/>
      <scheme val="minor"/>
    </font>
    <font>
      <b/>
      <i/>
      <sz val="10"/>
      <color rgb="FFFF0000"/>
      <name val="Arial"/>
      <family val="2"/>
      <charset val="162"/>
    </font>
    <font>
      <i/>
      <sz val="10"/>
      <color rgb="FFFF0000"/>
      <name val="Calibri"/>
      <family val="2"/>
      <charset val="162"/>
      <scheme val="minor"/>
    </font>
    <font>
      <sz val="9"/>
      <color rgb="FFFF0000"/>
      <name val="Arial"/>
      <family val="2"/>
      <charset val="162"/>
    </font>
    <font>
      <sz val="10"/>
      <color rgb="FFFF0000"/>
      <name val="Arial"/>
      <family val="2"/>
      <charset val="162"/>
    </font>
    <font>
      <u/>
      <sz val="11"/>
      <color theme="1"/>
      <name val="Calibri"/>
      <family val="2"/>
      <charset val="162"/>
      <scheme val="minor"/>
    </font>
    <font>
      <sz val="11"/>
      <color rgb="FFFF0000"/>
      <name val="Calibri"/>
      <family val="2"/>
      <charset val="16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Arial"/>
      <family val="2"/>
      <charset val="162"/>
    </font>
  </fonts>
  <fills count="4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</fills>
  <borders count="3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8">
    <xf numFmtId="0" fontId="0" fillId="0" borderId="0" xfId="0"/>
    <xf numFmtId="0" fontId="0" fillId="0" borderId="0" xfId="0" applyAlignment="1">
      <alignment vertical="center"/>
    </xf>
    <xf numFmtId="0" fontId="3" fillId="0" borderId="19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29" xfId="0" applyFill="1" applyBorder="1"/>
    <xf numFmtId="0" fontId="0" fillId="3" borderId="27" xfId="0" applyFill="1" applyBorder="1"/>
    <xf numFmtId="0" fontId="0" fillId="3" borderId="28" xfId="0" applyFill="1" applyBorder="1"/>
    <xf numFmtId="0" fontId="0" fillId="3" borderId="20" xfId="0" applyFill="1" applyBorder="1"/>
    <xf numFmtId="0" fontId="0" fillId="3" borderId="23" xfId="0" applyFill="1" applyBorder="1"/>
    <xf numFmtId="0" fontId="0" fillId="3" borderId="21" xfId="0" applyFill="1" applyBorder="1"/>
    <xf numFmtId="0" fontId="0" fillId="3" borderId="11" xfId="0" applyFill="1" applyBorder="1"/>
    <xf numFmtId="0" fontId="0" fillId="3" borderId="24" xfId="0" applyFill="1" applyBorder="1"/>
    <xf numFmtId="0" fontId="0" fillId="3" borderId="8" xfId="0" applyFill="1" applyBorder="1"/>
    <xf numFmtId="0" fontId="0" fillId="3" borderId="10" xfId="0" applyFill="1" applyBorder="1"/>
    <xf numFmtId="0" fontId="0" fillId="3" borderId="0" xfId="0" applyFill="1" applyAlignment="1">
      <alignment vertical="center" wrapText="1"/>
    </xf>
    <xf numFmtId="0" fontId="0" fillId="3" borderId="23" xfId="0" applyFill="1" applyBorder="1" applyAlignment="1">
      <alignment vertical="center" wrapText="1"/>
    </xf>
    <xf numFmtId="0" fontId="0" fillId="3" borderId="9" xfId="0" applyFill="1" applyBorder="1"/>
    <xf numFmtId="0" fontId="0" fillId="3" borderId="12" xfId="0" applyFill="1" applyBorder="1"/>
    <xf numFmtId="0" fontId="0" fillId="3" borderId="20" xfId="0" applyFill="1" applyBorder="1" applyAlignment="1">
      <alignment vertical="center"/>
    </xf>
    <xf numFmtId="0" fontId="0" fillId="3" borderId="0" xfId="0" applyFill="1" applyAlignment="1">
      <alignment vertical="center"/>
    </xf>
    <xf numFmtId="0" fontId="0" fillId="3" borderId="23" xfId="0" applyFill="1" applyBorder="1" applyAlignment="1">
      <alignment vertical="center"/>
    </xf>
    <xf numFmtId="0" fontId="9" fillId="3" borderId="29" xfId="0" applyFont="1" applyFill="1" applyBorder="1" applyAlignment="1">
      <alignment wrapText="1"/>
    </xf>
    <xf numFmtId="0" fontId="9" fillId="3" borderId="27" xfId="0" applyFont="1" applyFill="1" applyBorder="1" applyAlignment="1">
      <alignment wrapText="1"/>
    </xf>
    <xf numFmtId="0" fontId="6" fillId="3" borderId="5" xfId="0" applyFont="1" applyFill="1" applyBorder="1" applyAlignment="1">
      <alignment vertical="top"/>
    </xf>
    <xf numFmtId="0" fontId="1" fillId="3" borderId="6" xfId="0" applyFont="1" applyFill="1" applyBorder="1" applyAlignment="1">
      <alignment vertical="top" wrapText="1"/>
    </xf>
    <xf numFmtId="0" fontId="1" fillId="3" borderId="7" xfId="0" applyFont="1" applyFill="1" applyBorder="1" applyAlignment="1">
      <alignment vertical="top" wrapText="1"/>
    </xf>
    <xf numFmtId="0" fontId="1" fillId="3" borderId="8" xfId="0" applyFont="1" applyFill="1" applyBorder="1" applyAlignment="1">
      <alignment vertical="top" wrapText="1"/>
    </xf>
    <xf numFmtId="0" fontId="1" fillId="3" borderId="0" xfId="0" applyFont="1" applyFill="1" applyAlignment="1">
      <alignment vertical="top" wrapText="1"/>
    </xf>
    <xf numFmtId="0" fontId="1" fillId="3" borderId="9" xfId="0" applyFont="1" applyFill="1" applyBorder="1" applyAlignment="1">
      <alignment vertical="top" wrapText="1"/>
    </xf>
    <xf numFmtId="0" fontId="1" fillId="3" borderId="10" xfId="0" applyFont="1" applyFill="1" applyBorder="1" applyAlignment="1">
      <alignment vertical="top" wrapText="1"/>
    </xf>
    <xf numFmtId="0" fontId="1" fillId="3" borderId="11" xfId="0" applyFont="1" applyFill="1" applyBorder="1" applyAlignment="1">
      <alignment vertical="top" wrapText="1"/>
    </xf>
    <xf numFmtId="0" fontId="1" fillId="3" borderId="12" xfId="0" applyFont="1" applyFill="1" applyBorder="1" applyAlignment="1">
      <alignment vertical="top" wrapText="1"/>
    </xf>
    <xf numFmtId="0" fontId="1" fillId="3" borderId="0" xfId="0" applyFont="1" applyFill="1" applyAlignment="1">
      <alignment horizontal="left" vertical="center" wrapText="1"/>
    </xf>
    <xf numFmtId="0" fontId="1" fillId="3" borderId="5" xfId="0" applyFont="1" applyFill="1" applyBorder="1" applyAlignment="1">
      <alignment vertical="center"/>
    </xf>
    <xf numFmtId="0" fontId="1" fillId="3" borderId="8" xfId="0" applyFont="1" applyFill="1" applyBorder="1" applyAlignment="1">
      <alignment vertical="center"/>
    </xf>
    <xf numFmtId="0" fontId="1" fillId="3" borderId="0" xfId="0" applyFont="1" applyFill="1" applyAlignment="1">
      <alignment vertical="center"/>
    </xf>
    <xf numFmtId="0" fontId="1" fillId="3" borderId="0" xfId="0" applyFont="1" applyFill="1" applyAlignment="1">
      <alignment horizontal="right" vertical="center"/>
    </xf>
    <xf numFmtId="0" fontId="1" fillId="3" borderId="9" xfId="0" applyFont="1" applyFill="1" applyBorder="1" applyAlignment="1">
      <alignment vertical="center"/>
    </xf>
    <xf numFmtId="0" fontId="1" fillId="3" borderId="10" xfId="0" applyFont="1" applyFill="1" applyBorder="1" applyAlignment="1">
      <alignment vertical="center"/>
    </xf>
    <xf numFmtId="0" fontId="1" fillId="3" borderId="0" xfId="0" applyFont="1" applyFill="1"/>
    <xf numFmtId="0" fontId="10" fillId="3" borderId="0" xfId="0" applyFont="1" applyFill="1" applyAlignment="1">
      <alignment horizontal="right"/>
    </xf>
    <xf numFmtId="0" fontId="3" fillId="3" borderId="0" xfId="0" applyFont="1" applyFill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6" fillId="3" borderId="0" xfId="0" applyFont="1" applyFill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horizontal="center" vertical="center"/>
    </xf>
    <xf numFmtId="0" fontId="1" fillId="0" borderId="30" xfId="0" applyFont="1" applyBorder="1" applyAlignment="1">
      <alignment vertical="center"/>
    </xf>
    <xf numFmtId="0" fontId="1" fillId="0" borderId="30" xfId="0" applyFont="1" applyBorder="1" applyAlignment="1">
      <alignment horizontal="center" vertical="center"/>
    </xf>
    <xf numFmtId="0" fontId="11" fillId="3" borderId="0" xfId="0" applyFont="1" applyFill="1" applyAlignment="1">
      <alignment vertical="center"/>
    </xf>
    <xf numFmtId="0" fontId="12" fillId="0" borderId="0" xfId="0" applyFont="1"/>
    <xf numFmtId="0" fontId="12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5" fillId="2" borderId="22" xfId="0" applyFont="1" applyFill="1" applyBorder="1" applyAlignment="1">
      <alignment horizontal="centerContinuous" vertical="center"/>
    </xf>
    <xf numFmtId="0" fontId="5" fillId="2" borderId="25" xfId="0" applyFont="1" applyFill="1" applyBorder="1" applyAlignment="1">
      <alignment horizontal="centerContinuous" vertical="center"/>
    </xf>
    <xf numFmtId="0" fontId="5" fillId="2" borderId="17" xfId="0" applyFont="1" applyFill="1" applyBorder="1" applyAlignment="1">
      <alignment horizontal="centerContinuous" vertical="center"/>
    </xf>
    <xf numFmtId="0" fontId="4" fillId="2" borderId="3" xfId="0" applyFont="1" applyFill="1" applyBorder="1" applyAlignment="1">
      <alignment vertical="center"/>
    </xf>
    <xf numFmtId="0" fontId="4" fillId="2" borderId="3" xfId="0" applyFont="1" applyFill="1" applyBorder="1" applyAlignment="1">
      <alignment horizontal="center" vertical="center"/>
    </xf>
    <xf numFmtId="14" fontId="1" fillId="0" borderId="30" xfId="0" applyNumberFormat="1" applyFont="1" applyBorder="1" applyAlignment="1">
      <alignment vertical="center"/>
    </xf>
    <xf numFmtId="0" fontId="6" fillId="3" borderId="0" xfId="0" applyFont="1" applyFill="1" applyAlignment="1">
      <alignment vertical="top"/>
    </xf>
    <xf numFmtId="0" fontId="11" fillId="0" borderId="0" xfId="0" applyFont="1" applyAlignment="1">
      <alignment vertical="center"/>
    </xf>
    <xf numFmtId="0" fontId="1" fillId="0" borderId="0" xfId="0" applyFont="1"/>
    <xf numFmtId="0" fontId="4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1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5" fillId="0" borderId="0" xfId="0" applyFont="1" applyAlignment="1">
      <alignment horizontal="centerContinuous" vertical="center"/>
    </xf>
    <xf numFmtId="0" fontId="9" fillId="0" borderId="0" xfId="0" applyFont="1" applyAlignment="1">
      <alignment wrapText="1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164" fontId="1" fillId="0" borderId="30" xfId="0" applyNumberFormat="1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166" fontId="1" fillId="0" borderId="30" xfId="0" applyNumberFormat="1" applyFont="1" applyBorder="1" applyAlignment="1">
      <alignment horizontal="center" vertical="center"/>
    </xf>
    <xf numFmtId="0" fontId="1" fillId="0" borderId="35" xfId="0" applyFont="1" applyBorder="1" applyAlignment="1">
      <alignment horizontal="center" vertical="center"/>
    </xf>
    <xf numFmtId="0" fontId="1" fillId="0" borderId="36" xfId="0" applyFont="1" applyBorder="1" applyAlignment="1">
      <alignment horizontal="center" vertical="center"/>
    </xf>
    <xf numFmtId="14" fontId="1" fillId="0" borderId="30" xfId="0" applyNumberFormat="1" applyFont="1" applyBorder="1" applyAlignment="1">
      <alignment vertical="center"/>
    </xf>
    <xf numFmtId="0" fontId="1" fillId="0" borderId="30" xfId="0" applyFont="1" applyBorder="1" applyAlignment="1">
      <alignment horizontal="center" vertical="center"/>
    </xf>
    <xf numFmtId="0" fontId="0" fillId="3" borderId="20" xfId="0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0" fillId="3" borderId="23" xfId="0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/>
    </xf>
    <xf numFmtId="0" fontId="5" fillId="2" borderId="17" xfId="0" applyFont="1" applyFill="1" applyBorder="1" applyAlignment="1">
      <alignment horizontal="center" vertical="center"/>
    </xf>
    <xf numFmtId="0" fontId="5" fillId="2" borderId="25" xfId="0" applyFont="1" applyFill="1" applyBorder="1" applyAlignment="1">
      <alignment horizontal="center" vertical="center"/>
    </xf>
    <xf numFmtId="0" fontId="5" fillId="2" borderId="22" xfId="0" applyFont="1" applyFill="1" applyBorder="1" applyAlignment="1">
      <alignment horizontal="center" vertical="center"/>
    </xf>
    <xf numFmtId="0" fontId="5" fillId="2" borderId="16" xfId="0" applyFont="1" applyFill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0" fontId="5" fillId="2" borderId="18" xfId="0" applyFont="1" applyFill="1" applyBorder="1" applyAlignment="1">
      <alignment horizontal="center" vertical="center"/>
    </xf>
    <xf numFmtId="164" fontId="1" fillId="0" borderId="30" xfId="0" applyNumberFormat="1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1" fillId="3" borderId="0" xfId="0" applyFont="1" applyFill="1" applyAlignment="1">
      <alignment horizontal="center"/>
    </xf>
    <xf numFmtId="165" fontId="3" fillId="0" borderId="2" xfId="0" applyNumberFormat="1" applyFont="1" applyBorder="1" applyAlignment="1">
      <alignment horizontal="center" vertical="center"/>
    </xf>
    <xf numFmtId="165" fontId="3" fillId="0" borderId="3" xfId="0" applyNumberFormat="1" applyFont="1" applyBorder="1" applyAlignment="1">
      <alignment horizontal="center" vertical="center"/>
    </xf>
    <xf numFmtId="165" fontId="3" fillId="0" borderId="4" xfId="0" applyNumberFormat="1" applyFont="1" applyBorder="1" applyAlignment="1">
      <alignment horizontal="center" vertical="center"/>
    </xf>
    <xf numFmtId="164" fontId="1" fillId="3" borderId="6" xfId="0" applyNumberFormat="1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166" fontId="1" fillId="0" borderId="30" xfId="0" applyNumberFormat="1" applyFont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1" fillId="0" borderId="33" xfId="0" applyFont="1" applyBorder="1" applyAlignment="1">
      <alignment horizontal="center" vertical="center"/>
    </xf>
    <xf numFmtId="0" fontId="1" fillId="0" borderId="34" xfId="0" applyFont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1" fillId="0" borderId="35" xfId="0" applyFont="1" applyBorder="1" applyAlignment="1">
      <alignment horizontal="center" vertical="center"/>
    </xf>
    <xf numFmtId="0" fontId="1" fillId="0" borderId="36" xfId="0" applyFont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49" fontId="1" fillId="3" borderId="2" xfId="0" applyNumberFormat="1" applyFont="1" applyFill="1" applyBorder="1" applyAlignment="1">
      <alignment horizontal="left" vertical="center"/>
    </xf>
    <xf numFmtId="49" fontId="1" fillId="3" borderId="3" xfId="0" applyNumberFormat="1" applyFont="1" applyFill="1" applyBorder="1" applyAlignment="1">
      <alignment horizontal="left" vertical="center"/>
    </xf>
    <xf numFmtId="49" fontId="1" fillId="3" borderId="4" xfId="0" applyNumberFormat="1" applyFont="1" applyFill="1" applyBorder="1" applyAlignment="1">
      <alignment horizontal="left" vertical="center"/>
    </xf>
    <xf numFmtId="0" fontId="1" fillId="3" borderId="2" xfId="0" applyFont="1" applyFill="1" applyBorder="1" applyAlignment="1">
      <alignment horizontal="left" vertical="center"/>
    </xf>
    <xf numFmtId="0" fontId="1" fillId="3" borderId="3" xfId="0" applyFont="1" applyFill="1" applyBorder="1" applyAlignment="1">
      <alignment horizontal="left" vertical="center"/>
    </xf>
    <xf numFmtId="0" fontId="1" fillId="3" borderId="4" xfId="0" applyFont="1" applyFill="1" applyBorder="1" applyAlignment="1">
      <alignment horizontal="left" vertical="center"/>
    </xf>
    <xf numFmtId="14" fontId="1" fillId="3" borderId="13" xfId="0" applyNumberFormat="1" applyFont="1" applyFill="1" applyBorder="1" applyAlignment="1">
      <alignment horizontal="left" vertical="center"/>
    </xf>
    <xf numFmtId="0" fontId="1" fillId="3" borderId="14" xfId="0" applyFont="1" applyFill="1" applyBorder="1" applyAlignment="1">
      <alignment horizontal="left" vertical="center"/>
    </xf>
    <xf numFmtId="0" fontId="1" fillId="3" borderId="15" xfId="0" applyFont="1" applyFill="1" applyBorder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0" fontId="3" fillId="3" borderId="9" xfId="0" applyFont="1" applyFill="1" applyBorder="1" applyAlignment="1">
      <alignment horizontal="left" vertical="center"/>
    </xf>
    <xf numFmtId="0" fontId="1" fillId="3" borderId="5" xfId="0" applyFont="1" applyFill="1" applyBorder="1" applyAlignment="1">
      <alignment horizontal="left" vertical="center" wrapText="1"/>
    </xf>
    <xf numFmtId="0" fontId="1" fillId="3" borderId="6" xfId="0" applyFont="1" applyFill="1" applyBorder="1" applyAlignment="1">
      <alignment horizontal="left" vertical="center" wrapText="1"/>
    </xf>
    <xf numFmtId="0" fontId="1" fillId="3" borderId="7" xfId="0" applyFont="1" applyFill="1" applyBorder="1" applyAlignment="1">
      <alignment horizontal="left" vertical="center" wrapText="1"/>
    </xf>
    <xf numFmtId="0" fontId="1" fillId="3" borderId="10" xfId="0" applyFont="1" applyFill="1" applyBorder="1" applyAlignment="1">
      <alignment horizontal="left" vertical="center" wrapText="1"/>
    </xf>
    <xf numFmtId="0" fontId="1" fillId="3" borderId="11" xfId="0" applyFont="1" applyFill="1" applyBorder="1" applyAlignment="1">
      <alignment horizontal="left" vertical="center" wrapText="1"/>
    </xf>
    <xf numFmtId="0" fontId="1" fillId="3" borderId="12" xfId="0" applyFont="1" applyFill="1" applyBorder="1" applyAlignment="1">
      <alignment horizontal="left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left" vertical="center"/>
    </xf>
    <xf numFmtId="0" fontId="1" fillId="3" borderId="7" xfId="0" applyFont="1" applyFill="1" applyBorder="1" applyAlignment="1">
      <alignment horizontal="left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left" vertical="center"/>
    </xf>
    <xf numFmtId="0" fontId="1" fillId="3" borderId="12" xfId="0" applyFont="1" applyFill="1" applyBorder="1" applyAlignment="1">
      <alignment horizontal="left" vertical="center"/>
    </xf>
    <xf numFmtId="0" fontId="1" fillId="3" borderId="0" xfId="0" applyFont="1" applyFill="1" applyAlignment="1">
      <alignment horizontal="left" vertical="center" wrapText="1"/>
    </xf>
    <xf numFmtId="0" fontId="1" fillId="3" borderId="9" xfId="0" applyFont="1" applyFill="1" applyBorder="1" applyAlignment="1">
      <alignment horizontal="left" vertical="center" wrapText="1"/>
    </xf>
    <xf numFmtId="0" fontId="1" fillId="3" borderId="5" xfId="0" applyFont="1" applyFill="1" applyBorder="1" applyAlignment="1">
      <alignment horizontal="left" vertical="center"/>
    </xf>
    <xf numFmtId="0" fontId="1" fillId="3" borderId="10" xfId="0" applyFont="1" applyFill="1" applyBorder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6" fillId="3" borderId="8" xfId="0" applyFont="1" applyFill="1" applyBorder="1" applyAlignment="1">
      <alignment horizontal="left" vertical="center" wrapText="1"/>
    </xf>
    <xf numFmtId="0" fontId="16" fillId="3" borderId="0" xfId="0" applyFont="1" applyFill="1" applyAlignment="1">
      <alignment horizontal="left" vertical="center" wrapText="1"/>
    </xf>
    <xf numFmtId="0" fontId="16" fillId="3" borderId="9" xfId="0" applyFont="1" applyFill="1" applyBorder="1" applyAlignment="1">
      <alignment horizontal="left" vertical="center" wrapText="1"/>
    </xf>
    <xf numFmtId="0" fontId="16" fillId="3" borderId="10" xfId="0" applyFont="1" applyFill="1" applyBorder="1" applyAlignment="1">
      <alignment horizontal="left" vertical="center" wrapText="1"/>
    </xf>
    <xf numFmtId="0" fontId="16" fillId="3" borderId="11" xfId="0" applyFont="1" applyFill="1" applyBorder="1" applyAlignment="1">
      <alignment horizontal="left" vertical="center" wrapText="1"/>
    </xf>
    <xf numFmtId="0" fontId="16" fillId="3" borderId="12" xfId="0" applyFont="1" applyFill="1" applyBorder="1" applyAlignment="1">
      <alignment horizontal="left" vertical="center" wrapText="1"/>
    </xf>
    <xf numFmtId="0" fontId="7" fillId="3" borderId="0" xfId="0" applyFont="1" applyFill="1" applyAlignment="1">
      <alignment horizontal="left" vertical="top" wrapText="1"/>
    </xf>
    <xf numFmtId="0" fontId="9" fillId="3" borderId="26" xfId="0" applyFont="1" applyFill="1" applyBorder="1" applyAlignment="1">
      <alignment horizontal="left" vertical="center" wrapText="1"/>
    </xf>
    <xf numFmtId="0" fontId="9" fillId="3" borderId="27" xfId="0" applyFont="1" applyFill="1" applyBorder="1" applyAlignment="1">
      <alignment horizontal="left" vertical="center" wrapText="1"/>
    </xf>
    <xf numFmtId="0" fontId="9" fillId="3" borderId="28" xfId="0" applyFont="1" applyFill="1" applyBorder="1" applyAlignment="1">
      <alignment horizontal="left" vertical="center" wrapText="1"/>
    </xf>
    <xf numFmtId="0" fontId="9" fillId="3" borderId="8" xfId="0" applyFont="1" applyFill="1" applyBorder="1" applyAlignment="1">
      <alignment horizontal="left" vertical="center" wrapText="1"/>
    </xf>
    <xf numFmtId="0" fontId="9" fillId="3" borderId="0" xfId="0" applyFont="1" applyFill="1" applyAlignment="1">
      <alignment horizontal="left" vertical="center" wrapText="1"/>
    </xf>
    <xf numFmtId="0" fontId="9" fillId="3" borderId="23" xfId="0" applyFont="1" applyFill="1" applyBorder="1" applyAlignment="1">
      <alignment horizontal="left" vertical="center" wrapText="1"/>
    </xf>
    <xf numFmtId="0" fontId="0" fillId="3" borderId="0" xfId="0" applyFill="1" applyAlignment="1">
      <alignment horizontal="left" vertical="center" wrapText="1"/>
    </xf>
    <xf numFmtId="0" fontId="0" fillId="3" borderId="23" xfId="0" applyFill="1" applyBorder="1" applyAlignment="1">
      <alignment horizontal="left" vertical="center" wrapText="1"/>
    </xf>
    <xf numFmtId="0" fontId="13" fillId="3" borderId="29" xfId="0" applyFont="1" applyFill="1" applyBorder="1" applyAlignment="1">
      <alignment horizontal="left" vertical="center" wrapText="1"/>
    </xf>
    <xf numFmtId="0" fontId="13" fillId="3" borderId="27" xfId="0" applyFont="1" applyFill="1" applyBorder="1" applyAlignment="1">
      <alignment horizontal="left" vertical="center" wrapText="1"/>
    </xf>
    <xf numFmtId="0" fontId="13" fillId="3" borderId="28" xfId="0" applyFont="1" applyFill="1" applyBorder="1" applyAlignment="1">
      <alignment horizontal="left" vertical="center" wrapText="1"/>
    </xf>
    <xf numFmtId="0" fontId="13" fillId="3" borderId="20" xfId="0" applyFont="1" applyFill="1" applyBorder="1" applyAlignment="1">
      <alignment horizontal="left" vertical="center" wrapText="1"/>
    </xf>
    <xf numFmtId="0" fontId="13" fillId="3" borderId="0" xfId="0" applyFont="1" applyFill="1" applyAlignment="1">
      <alignment horizontal="left" vertical="center" wrapText="1"/>
    </xf>
    <xf numFmtId="0" fontId="13" fillId="3" borderId="23" xfId="0" applyFont="1" applyFill="1" applyBorder="1" applyAlignment="1">
      <alignment horizontal="left" vertical="center" wrapText="1"/>
    </xf>
    <xf numFmtId="0" fontId="13" fillId="3" borderId="29" xfId="0" applyFont="1" applyFill="1" applyBorder="1" applyAlignment="1">
      <alignment horizontal="left" vertical="top" wrapText="1" indent="5"/>
    </xf>
    <xf numFmtId="0" fontId="13" fillId="3" borderId="27" xfId="0" applyFont="1" applyFill="1" applyBorder="1" applyAlignment="1">
      <alignment horizontal="left" vertical="top" wrapText="1" indent="5"/>
    </xf>
    <xf numFmtId="0" fontId="13" fillId="3" borderId="28" xfId="0" applyFont="1" applyFill="1" applyBorder="1" applyAlignment="1">
      <alignment horizontal="left" vertical="top" wrapText="1" indent="5"/>
    </xf>
    <xf numFmtId="0" fontId="13" fillId="3" borderId="20" xfId="0" applyFont="1" applyFill="1" applyBorder="1" applyAlignment="1">
      <alignment horizontal="left" vertical="top" wrapText="1" indent="5"/>
    </xf>
    <xf numFmtId="0" fontId="13" fillId="3" borderId="0" xfId="0" applyFont="1" applyFill="1" applyAlignment="1">
      <alignment horizontal="left" vertical="top" wrapText="1" indent="5"/>
    </xf>
    <xf numFmtId="0" fontId="13" fillId="3" borderId="23" xfId="0" applyFont="1" applyFill="1" applyBorder="1" applyAlignment="1">
      <alignment horizontal="left" vertical="top" wrapText="1" indent="5"/>
    </xf>
    <xf numFmtId="0" fontId="0" fillId="3" borderId="20" xfId="0" applyFill="1" applyBorder="1" applyAlignment="1">
      <alignment horizontal="left" vertical="center" wrapText="1" indent="5"/>
    </xf>
    <xf numFmtId="0" fontId="0" fillId="3" borderId="0" xfId="0" applyFill="1" applyAlignment="1">
      <alignment horizontal="left" vertical="center" wrapText="1" indent="5"/>
    </xf>
    <xf numFmtId="0" fontId="0" fillId="3" borderId="23" xfId="0" applyFill="1" applyBorder="1" applyAlignment="1">
      <alignment horizontal="left" vertical="center" wrapText="1" indent="5"/>
    </xf>
    <xf numFmtId="0" fontId="1" fillId="3" borderId="2" xfId="0" quotePrefix="1" applyFont="1" applyFill="1" applyBorder="1" applyAlignment="1">
      <alignment horizontal="left" vertical="center"/>
    </xf>
    <xf numFmtId="0" fontId="1" fillId="3" borderId="0" xfId="0" applyFont="1" applyFill="1" applyAlignment="1">
      <alignment horizontal="left" vertical="center"/>
    </xf>
    <xf numFmtId="0" fontId="3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166" fontId="1" fillId="0" borderId="0" xfId="0" applyNumberFormat="1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right" vertical="center"/>
    </xf>
    <xf numFmtId="165" fontId="3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/>
    </xf>
    <xf numFmtId="0" fontId="5" fillId="0" borderId="0" xfId="0" applyFont="1" applyAlignment="1">
      <alignment horizontal="center" vertical="center"/>
    </xf>
    <xf numFmtId="0" fontId="9" fillId="0" borderId="0" xfId="0" applyFont="1" applyAlignment="1">
      <alignment horizontal="left" vertical="center" wrapText="1"/>
    </xf>
    <xf numFmtId="0" fontId="13" fillId="0" borderId="0" xfId="0" applyFont="1" applyAlignment="1">
      <alignment horizontal="left" vertical="center" wrapText="1"/>
    </xf>
    <xf numFmtId="0" fontId="13" fillId="0" borderId="0" xfId="0" applyFont="1" applyAlignment="1">
      <alignment horizontal="left" vertical="top" wrapText="1" indent="5"/>
    </xf>
    <xf numFmtId="0" fontId="0" fillId="0" borderId="0" xfId="0" applyAlignment="1">
      <alignment horizontal="left" vertical="center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>
      <alignment horizontal="left" vertical="center" wrapText="1" indent="5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216166</xdr:colOff>
      <xdr:row>14</xdr:row>
      <xdr:rowOff>26242</xdr:rowOff>
    </xdr:from>
    <xdr:ext cx="303298" cy="280205"/>
    <xdr:sp macro="" textlink="">
      <xdr:nvSpPr>
        <xdr:cNvPr id="4" name="3 Metin kutusu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4135023" y="3278349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7</xdr:col>
      <xdr:colOff>77423</xdr:colOff>
      <xdr:row>37</xdr:row>
      <xdr:rowOff>60308</xdr:rowOff>
    </xdr:from>
    <xdr:ext cx="540328" cy="264560"/>
    <xdr:sp macro="" textlink="">
      <xdr:nvSpPr>
        <xdr:cNvPr id="20" name="3 Metin kutusu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 txBox="1"/>
      </xdr:nvSpPr>
      <xdr:spPr>
        <a:xfrm>
          <a:off x="7831894" y="7330684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r>
            <a:rPr lang="tr-TR" sz="1100"/>
            <a:t>X</a:t>
          </a:r>
        </a:p>
      </xdr:txBody>
    </xdr:sp>
    <xdr:clientData/>
  </xdr:oneCellAnchor>
  <xdr:oneCellAnchor>
    <xdr:from>
      <xdr:col>4</xdr:col>
      <xdr:colOff>216568</xdr:colOff>
      <xdr:row>16</xdr:row>
      <xdr:rowOff>20053</xdr:rowOff>
    </xdr:from>
    <xdr:ext cx="303298" cy="280205"/>
    <xdr:sp macro="" textlink="">
      <xdr:nvSpPr>
        <xdr:cNvPr id="14" name="3 Metin kutusu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4286544" y="4009347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18</xdr:row>
      <xdr:rowOff>24063</xdr:rowOff>
    </xdr:from>
    <xdr:ext cx="303298" cy="280205"/>
    <xdr:sp macro="" textlink="">
      <xdr:nvSpPr>
        <xdr:cNvPr id="16" name="3 Metin kutusu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/>
      </xdr:nvSpPr>
      <xdr:spPr>
        <a:xfrm>
          <a:off x="4290555" y="4371945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20</xdr:row>
      <xdr:rowOff>28074</xdr:rowOff>
    </xdr:from>
    <xdr:ext cx="303298" cy="280205"/>
    <xdr:sp macro="" textlink="">
      <xdr:nvSpPr>
        <xdr:cNvPr id="17" name="3 Metin kutusu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 txBox="1"/>
      </xdr:nvSpPr>
      <xdr:spPr>
        <a:xfrm>
          <a:off x="4290555" y="4734545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24</xdr:row>
      <xdr:rowOff>1651</xdr:rowOff>
    </xdr:from>
    <xdr:ext cx="303298" cy="280205"/>
    <xdr:sp macro="" textlink="">
      <xdr:nvSpPr>
        <xdr:cNvPr id="19" name="3 Metin kutusu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3728020" y="5077916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29820</xdr:colOff>
      <xdr:row>37</xdr:row>
      <xdr:rowOff>59635</xdr:rowOff>
    </xdr:from>
    <xdr:ext cx="540328" cy="264560"/>
    <xdr:sp macro="" textlink="">
      <xdr:nvSpPr>
        <xdr:cNvPr id="22" name="3 Metin kutusu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 txBox="1"/>
      </xdr:nvSpPr>
      <xdr:spPr>
        <a:xfrm>
          <a:off x="3537261" y="7735664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10</xdr:col>
      <xdr:colOff>1318591</xdr:colOff>
      <xdr:row>37</xdr:row>
      <xdr:rowOff>59634</xdr:rowOff>
    </xdr:from>
    <xdr:ext cx="540328" cy="264560"/>
    <xdr:sp macro="" textlink="">
      <xdr:nvSpPr>
        <xdr:cNvPr id="23" name="3 Metin kutusu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 txBox="1"/>
      </xdr:nvSpPr>
      <xdr:spPr>
        <a:xfrm>
          <a:off x="11357113" y="7176051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4</xdr:col>
      <xdr:colOff>220579</xdr:colOff>
      <xdr:row>22</xdr:row>
      <xdr:rowOff>5662</xdr:rowOff>
    </xdr:from>
    <xdr:ext cx="303298" cy="280205"/>
    <xdr:sp macro="" textlink="">
      <xdr:nvSpPr>
        <xdr:cNvPr id="18" name="3 Metin kutusu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 txBox="1"/>
      </xdr:nvSpPr>
      <xdr:spPr>
        <a:xfrm>
          <a:off x="3728020" y="4712133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5</xdr:col>
      <xdr:colOff>623208</xdr:colOff>
      <xdr:row>65</xdr:row>
      <xdr:rowOff>89646</xdr:rowOff>
    </xdr:from>
    <xdr:ext cx="273263" cy="219635"/>
    <xdr:sp macro="" textlink="">
      <xdr:nvSpPr>
        <xdr:cNvPr id="21" name="3 Metin kutusu">
          <a:extLst>
            <a:ext uri="{FF2B5EF4-FFF2-40B4-BE49-F238E27FC236}">
              <a16:creationId xmlns:a16="http://schemas.microsoft.com/office/drawing/2014/main" id="{175C762C-A166-4FBF-82E0-8FD78CEA9221}"/>
            </a:ext>
          </a:extLst>
        </xdr:cNvPr>
        <xdr:cNvSpPr txBox="1"/>
      </xdr:nvSpPr>
      <xdr:spPr>
        <a:xfrm>
          <a:off x="6418218" y="13495131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</xdr:col>
      <xdr:colOff>94930</xdr:colOff>
      <xdr:row>86</xdr:row>
      <xdr:rowOff>183134</xdr:rowOff>
    </xdr:from>
    <xdr:ext cx="273263" cy="219635"/>
    <xdr:sp macro="" textlink="">
      <xdr:nvSpPr>
        <xdr:cNvPr id="24" name="3 Metin kutusu">
          <a:extLst>
            <a:ext uri="{FF2B5EF4-FFF2-40B4-BE49-F238E27FC236}">
              <a16:creationId xmlns:a16="http://schemas.microsoft.com/office/drawing/2014/main" id="{0D0AC3BA-DF6A-48CC-B5DD-E9632B7C14EC}"/>
            </a:ext>
          </a:extLst>
        </xdr:cNvPr>
        <xdr:cNvSpPr txBox="1"/>
      </xdr:nvSpPr>
      <xdr:spPr>
        <a:xfrm>
          <a:off x="704530" y="18667077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</xdr:col>
      <xdr:colOff>91087</xdr:colOff>
      <xdr:row>88</xdr:row>
      <xdr:rowOff>178974</xdr:rowOff>
    </xdr:from>
    <xdr:ext cx="273263" cy="219635"/>
    <xdr:sp macro="" textlink="">
      <xdr:nvSpPr>
        <xdr:cNvPr id="25" name="3 Metin kutusu">
          <a:extLst>
            <a:ext uri="{FF2B5EF4-FFF2-40B4-BE49-F238E27FC236}">
              <a16:creationId xmlns:a16="http://schemas.microsoft.com/office/drawing/2014/main" id="{512B4667-2E2B-4D5F-952D-96C09130E5C8}"/>
            </a:ext>
          </a:extLst>
        </xdr:cNvPr>
        <xdr:cNvSpPr txBox="1"/>
      </xdr:nvSpPr>
      <xdr:spPr>
        <a:xfrm>
          <a:off x="700687" y="19033031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twoCellAnchor editAs="oneCell">
    <xdr:from>
      <xdr:col>1</xdr:col>
      <xdr:colOff>367393</xdr:colOff>
      <xdr:row>1</xdr:row>
      <xdr:rowOff>108857</xdr:rowOff>
    </xdr:from>
    <xdr:to>
      <xdr:col>3</xdr:col>
      <xdr:colOff>956582</xdr:colOff>
      <xdr:row>3</xdr:row>
      <xdr:rowOff>136274</xdr:rowOff>
    </xdr:to>
    <xdr:pic>
      <xdr:nvPicPr>
        <xdr:cNvPr id="26" name="Resim 25">
          <a:extLst>
            <a:ext uri="{FF2B5EF4-FFF2-40B4-BE49-F238E27FC236}">
              <a16:creationId xmlns:a16="http://schemas.microsoft.com/office/drawing/2014/main" id="{36D72991-79D6-4A83-922D-085DAA5FA06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9714" y="285750"/>
          <a:ext cx="1813832" cy="59891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367393</xdr:colOff>
      <xdr:row>1</xdr:row>
      <xdr:rowOff>108857</xdr:rowOff>
    </xdr:from>
    <xdr:to>
      <xdr:col>3</xdr:col>
      <xdr:colOff>956582</xdr:colOff>
      <xdr:row>3</xdr:row>
      <xdr:rowOff>136274</xdr:rowOff>
    </xdr:to>
    <xdr:pic>
      <xdr:nvPicPr>
        <xdr:cNvPr id="14" name="Resim 13">
          <a:extLst>
            <a:ext uri="{FF2B5EF4-FFF2-40B4-BE49-F238E27FC236}">
              <a16:creationId xmlns:a16="http://schemas.microsoft.com/office/drawing/2014/main" id="{28D3CBDD-C64E-4101-907C-8F2AFF93712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6993" y="299357"/>
          <a:ext cx="1779814" cy="589392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C14"/>
  <sheetViews>
    <sheetView showGridLines="0" workbookViewId="0">
      <selection activeCell="F21" sqref="F21"/>
    </sheetView>
  </sheetViews>
  <sheetFormatPr defaultRowHeight="15" x14ac:dyDescent="0.25"/>
  <cols>
    <col min="1" max="1" width="4.42578125" customWidth="1"/>
    <col min="2" max="2" width="3.7109375" style="52" customWidth="1"/>
  </cols>
  <sheetData>
    <row r="3" spans="2:3" x14ac:dyDescent="0.25">
      <c r="B3" s="51" t="s">
        <v>41</v>
      </c>
      <c r="C3" s="50"/>
    </row>
    <row r="4" spans="2:3" ht="16.149999999999999" customHeight="1" x14ac:dyDescent="0.25">
      <c r="B4" s="53" t="s">
        <v>46</v>
      </c>
      <c r="C4" s="53" t="s">
        <v>42</v>
      </c>
    </row>
    <row r="5" spans="2:3" ht="16.149999999999999" customHeight="1" x14ac:dyDescent="0.25">
      <c r="B5" s="53" t="s">
        <v>47</v>
      </c>
      <c r="C5" s="53" t="s">
        <v>58</v>
      </c>
    </row>
    <row r="6" spans="2:3" ht="16.149999999999999" customHeight="1" x14ac:dyDescent="0.25">
      <c r="B6" s="53" t="s">
        <v>48</v>
      </c>
      <c r="C6" s="53" t="s">
        <v>61</v>
      </c>
    </row>
    <row r="7" spans="2:3" ht="16.149999999999999" customHeight="1" x14ac:dyDescent="0.25">
      <c r="B7" s="53" t="s">
        <v>49</v>
      </c>
      <c r="C7" s="53" t="s">
        <v>43</v>
      </c>
    </row>
    <row r="8" spans="2:3" ht="16.149999999999999" customHeight="1" x14ac:dyDescent="0.25">
      <c r="B8" s="53" t="s">
        <v>50</v>
      </c>
      <c r="C8" s="53" t="s">
        <v>59</v>
      </c>
    </row>
    <row r="9" spans="2:3" ht="16.149999999999999" customHeight="1" x14ac:dyDescent="0.25">
      <c r="B9" s="53" t="s">
        <v>51</v>
      </c>
      <c r="C9" s="53" t="s">
        <v>44</v>
      </c>
    </row>
    <row r="10" spans="2:3" ht="16.149999999999999" customHeight="1" x14ac:dyDescent="0.25">
      <c r="B10" s="53" t="s">
        <v>52</v>
      </c>
      <c r="C10" s="53" t="s">
        <v>45</v>
      </c>
    </row>
    <row r="11" spans="2:3" ht="16.149999999999999" customHeight="1" x14ac:dyDescent="0.25">
      <c r="B11" s="53" t="s">
        <v>53</v>
      </c>
      <c r="C11" s="53" t="s">
        <v>60</v>
      </c>
    </row>
    <row r="12" spans="2:3" x14ac:dyDescent="0.25">
      <c r="B12" s="52" t="s">
        <v>54</v>
      </c>
      <c r="C12" s="53" t="s">
        <v>77</v>
      </c>
    </row>
    <row r="13" spans="2:3" x14ac:dyDescent="0.25">
      <c r="B13" s="52" t="s">
        <v>76</v>
      </c>
      <c r="C13" s="53" t="s">
        <v>79</v>
      </c>
    </row>
    <row r="14" spans="2:3" x14ac:dyDescent="0.25">
      <c r="B14" s="53" t="s">
        <v>78</v>
      </c>
      <c r="C14" s="53" t="s">
        <v>55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2:M111"/>
  <sheetViews>
    <sheetView showZeros="0" tabSelected="1" view="pageBreakPreview" zoomScale="70" zoomScaleNormal="70" zoomScaleSheetLayoutView="70" workbookViewId="0">
      <selection activeCell="B15" sqref="B15:D25"/>
    </sheetView>
  </sheetViews>
  <sheetFormatPr defaultRowHeight="15" x14ac:dyDescent="0.25"/>
  <cols>
    <col min="2" max="2" width="6.28515625" customWidth="1"/>
    <col min="3" max="3" width="11.5703125" customWidth="1"/>
    <col min="4" max="4" width="34.28515625" customWidth="1"/>
    <col min="5" max="5" width="27.28515625" customWidth="1"/>
    <col min="6" max="6" width="19.7109375" customWidth="1"/>
    <col min="7" max="7" width="14.42578125" customWidth="1"/>
    <col min="8" max="8" width="31.28515625" customWidth="1"/>
    <col min="9" max="9" width="16.28515625" customWidth="1"/>
    <col min="10" max="10" width="18.85546875" customWidth="1"/>
    <col min="11" max="11" width="29.42578125" customWidth="1"/>
    <col min="12" max="12" width="12.140625" customWidth="1"/>
  </cols>
  <sheetData>
    <row r="2" spans="2:13" ht="19.899999999999999" customHeight="1" x14ac:dyDescent="0.25">
      <c r="B2" s="40"/>
      <c r="C2" s="40"/>
      <c r="D2" s="40"/>
      <c r="E2" s="40"/>
      <c r="F2" s="40"/>
      <c r="G2" s="40"/>
      <c r="H2" s="40"/>
      <c r="I2" s="40"/>
      <c r="J2" s="40"/>
      <c r="K2" s="41"/>
      <c r="L2" s="40"/>
    </row>
    <row r="3" spans="2:13" ht="25.15" customHeight="1" x14ac:dyDescent="0.25">
      <c r="B3" s="110" t="s">
        <v>66</v>
      </c>
      <c r="C3" s="110"/>
      <c r="D3" s="110"/>
      <c r="E3" s="110"/>
      <c r="F3" s="110"/>
      <c r="G3" s="110"/>
      <c r="H3" s="110"/>
      <c r="I3" s="110"/>
      <c r="J3" s="110"/>
      <c r="K3" s="110"/>
      <c r="L3" s="110"/>
    </row>
    <row r="4" spans="2:13" ht="19.899999999999999" customHeight="1" thickBot="1" x14ac:dyDescent="0.3"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2:13" ht="25.15" customHeight="1" thickBot="1" x14ac:dyDescent="0.3">
      <c r="B5" s="120" t="s">
        <v>8</v>
      </c>
      <c r="C5" s="120"/>
      <c r="D5" s="117">
        <v>46181</v>
      </c>
      <c r="E5" s="118"/>
      <c r="F5" s="119"/>
      <c r="G5" s="42"/>
      <c r="H5" s="43" t="s">
        <v>35</v>
      </c>
      <c r="I5" s="114" t="s">
        <v>65</v>
      </c>
      <c r="J5" s="115"/>
      <c r="K5" s="115"/>
      <c r="L5" s="116"/>
      <c r="M5" s="1"/>
    </row>
    <row r="6" spans="2:13" ht="19.899999999999999" customHeight="1" thickBot="1" x14ac:dyDescent="0.3">
      <c r="B6" s="36"/>
      <c r="C6" s="36"/>
      <c r="D6" s="36"/>
      <c r="E6" s="36"/>
      <c r="F6" s="36"/>
      <c r="G6" s="37"/>
      <c r="H6" s="37"/>
      <c r="I6" s="36"/>
      <c r="J6" s="36"/>
      <c r="K6" s="36"/>
      <c r="L6" s="36"/>
      <c r="M6" s="1"/>
    </row>
    <row r="7" spans="2:13" ht="25.15" customHeight="1" thickBot="1" x14ac:dyDescent="0.3">
      <c r="B7" s="120" t="s">
        <v>9</v>
      </c>
      <c r="C7" s="121"/>
      <c r="D7" s="111" t="s">
        <v>95</v>
      </c>
      <c r="E7" s="112"/>
      <c r="F7" s="113"/>
      <c r="G7" s="42"/>
      <c r="H7" s="43" t="s">
        <v>34</v>
      </c>
      <c r="I7" s="114" t="s">
        <v>80</v>
      </c>
      <c r="J7" s="115"/>
      <c r="K7" s="115"/>
      <c r="L7" s="116"/>
      <c r="M7" s="1"/>
    </row>
    <row r="8" spans="2:13" ht="19.899999999999999" customHeight="1" thickBot="1" x14ac:dyDescent="0.3">
      <c r="B8" s="36"/>
      <c r="C8" s="36"/>
      <c r="D8" s="36"/>
      <c r="E8" s="36"/>
      <c r="F8" s="36"/>
      <c r="G8" s="37"/>
      <c r="H8" s="37"/>
      <c r="I8" s="36"/>
      <c r="J8" s="36"/>
      <c r="K8" s="36"/>
      <c r="L8" s="36"/>
      <c r="M8" s="1"/>
    </row>
    <row r="9" spans="2:13" ht="25.15" customHeight="1" thickBot="1" x14ac:dyDescent="0.3">
      <c r="B9" s="120" t="s">
        <v>10</v>
      </c>
      <c r="C9" s="121"/>
      <c r="D9" s="114" t="s">
        <v>81</v>
      </c>
      <c r="E9" s="115"/>
      <c r="F9" s="116"/>
      <c r="G9" s="42"/>
      <c r="H9" s="43" t="s">
        <v>36</v>
      </c>
      <c r="I9" s="114" t="s">
        <v>87</v>
      </c>
      <c r="J9" s="115"/>
      <c r="K9" s="115"/>
      <c r="L9" s="116"/>
      <c r="M9" s="1"/>
    </row>
    <row r="10" spans="2:13" ht="19.899999999999999" customHeight="1" x14ac:dyDescent="0.25">
      <c r="B10" s="36"/>
      <c r="C10" s="36"/>
      <c r="D10" s="36"/>
      <c r="E10" s="36"/>
      <c r="F10" s="36"/>
      <c r="G10" s="36"/>
      <c r="H10" s="44" t="s">
        <v>21</v>
      </c>
      <c r="I10" s="36"/>
      <c r="J10" s="36"/>
      <c r="K10" s="36"/>
      <c r="L10" s="36"/>
      <c r="M10" s="1"/>
    </row>
    <row r="11" spans="2:13" ht="6" customHeight="1" thickBot="1" x14ac:dyDescent="0.3"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1"/>
    </row>
    <row r="12" spans="2:13" ht="15" customHeight="1" x14ac:dyDescent="0.25">
      <c r="B12" s="120" t="s">
        <v>11</v>
      </c>
      <c r="C12" s="120"/>
      <c r="D12" s="121"/>
      <c r="E12" s="122"/>
      <c r="F12" s="123"/>
      <c r="G12" s="123"/>
      <c r="H12" s="123"/>
      <c r="I12" s="123"/>
      <c r="J12" s="123"/>
      <c r="K12" s="123"/>
      <c r="L12" s="124"/>
      <c r="M12" s="1"/>
    </row>
    <row r="13" spans="2:13" ht="15.75" thickBot="1" x14ac:dyDescent="0.3">
      <c r="B13" s="120"/>
      <c r="C13" s="120"/>
      <c r="D13" s="121"/>
      <c r="E13" s="125"/>
      <c r="F13" s="126"/>
      <c r="G13" s="126"/>
      <c r="H13" s="126"/>
      <c r="I13" s="126"/>
      <c r="J13" s="126"/>
      <c r="K13" s="126"/>
      <c r="L13" s="127"/>
      <c r="M13" s="1"/>
    </row>
    <row r="14" spans="2:13" ht="6" customHeight="1" thickBot="1" x14ac:dyDescent="0.3"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1"/>
    </row>
    <row r="15" spans="2:13" ht="25.9" customHeight="1" x14ac:dyDescent="0.25">
      <c r="B15" s="143" t="s">
        <v>17</v>
      </c>
      <c r="C15" s="143"/>
      <c r="D15" s="144"/>
      <c r="E15" s="34"/>
      <c r="F15" s="132" t="s">
        <v>37</v>
      </c>
      <c r="G15" s="132"/>
      <c r="H15" s="132"/>
      <c r="I15" s="132"/>
      <c r="J15" s="132"/>
      <c r="K15" s="132"/>
      <c r="L15" s="133"/>
      <c r="M15" s="1"/>
    </row>
    <row r="16" spans="2:13" ht="4.1500000000000004" customHeight="1" x14ac:dyDescent="0.25">
      <c r="B16" s="143"/>
      <c r="C16" s="143"/>
      <c r="D16" s="144"/>
      <c r="E16" s="134"/>
      <c r="F16" s="135"/>
      <c r="G16" s="135"/>
      <c r="H16" s="135"/>
      <c r="I16" s="135"/>
      <c r="J16" s="135"/>
      <c r="K16" s="135"/>
      <c r="L16" s="136"/>
      <c r="M16" s="1"/>
    </row>
    <row r="17" spans="2:13" ht="25.9" customHeight="1" x14ac:dyDescent="0.25">
      <c r="B17" s="143"/>
      <c r="C17" s="143"/>
      <c r="D17" s="144"/>
      <c r="E17" s="35"/>
      <c r="F17" s="36" t="s">
        <v>39</v>
      </c>
      <c r="G17" s="36"/>
      <c r="H17" s="36"/>
      <c r="I17" s="37"/>
      <c r="J17" s="36"/>
      <c r="K17" s="37"/>
      <c r="L17" s="38"/>
      <c r="M17" s="1"/>
    </row>
    <row r="18" spans="2:13" ht="4.1500000000000004" customHeight="1" thickBot="1" x14ac:dyDescent="0.3">
      <c r="B18" s="143"/>
      <c r="C18" s="143"/>
      <c r="D18" s="144"/>
      <c r="E18" s="134"/>
      <c r="F18" s="135"/>
      <c r="G18" s="135"/>
      <c r="H18" s="135"/>
      <c r="I18" s="135"/>
      <c r="J18" s="135"/>
      <c r="K18" s="135"/>
      <c r="L18" s="136"/>
      <c r="M18" s="1"/>
    </row>
    <row r="19" spans="2:13" ht="25.9" customHeight="1" thickBot="1" x14ac:dyDescent="0.3">
      <c r="B19" s="143"/>
      <c r="C19" s="143"/>
      <c r="D19" s="144"/>
      <c r="E19" s="35"/>
      <c r="F19" s="36" t="s">
        <v>16</v>
      </c>
      <c r="G19" s="36"/>
      <c r="H19" s="36"/>
      <c r="I19" s="145"/>
      <c r="J19" s="146"/>
      <c r="K19" s="147"/>
      <c r="L19" s="38"/>
      <c r="M19" s="1"/>
    </row>
    <row r="20" spans="2:13" ht="4.1500000000000004" customHeight="1" thickBot="1" x14ac:dyDescent="0.3">
      <c r="B20" s="143"/>
      <c r="C20" s="143"/>
      <c r="D20" s="144"/>
      <c r="E20" s="134"/>
      <c r="F20" s="135"/>
      <c r="G20" s="135"/>
      <c r="H20" s="135"/>
      <c r="I20" s="135"/>
      <c r="J20" s="135"/>
      <c r="K20" s="135"/>
      <c r="L20" s="136"/>
      <c r="M20" s="1"/>
    </row>
    <row r="21" spans="2:13" ht="25.9" customHeight="1" thickBot="1" x14ac:dyDescent="0.3">
      <c r="B21" s="143"/>
      <c r="C21" s="143"/>
      <c r="D21" s="144"/>
      <c r="E21" s="35"/>
      <c r="F21" s="36" t="s">
        <v>7</v>
      </c>
      <c r="G21" s="36"/>
      <c r="H21" s="36"/>
      <c r="I21" s="145"/>
      <c r="J21" s="146"/>
      <c r="K21" s="147"/>
      <c r="L21" s="38"/>
      <c r="M21" s="1"/>
    </row>
    <row r="22" spans="2:13" ht="4.1500000000000004" customHeight="1" thickBot="1" x14ac:dyDescent="0.3">
      <c r="B22" s="143"/>
      <c r="C22" s="143"/>
      <c r="D22" s="144"/>
      <c r="E22" s="134"/>
      <c r="F22" s="135"/>
      <c r="G22" s="135"/>
      <c r="H22" s="135"/>
      <c r="I22" s="135"/>
      <c r="J22" s="135"/>
      <c r="K22" s="135"/>
      <c r="L22" s="136"/>
      <c r="M22" s="1"/>
    </row>
    <row r="23" spans="2:13" ht="25.9" customHeight="1" thickBot="1" x14ac:dyDescent="0.3">
      <c r="B23" s="143"/>
      <c r="C23" s="143"/>
      <c r="D23" s="144"/>
      <c r="E23" s="35"/>
      <c r="F23" s="139" t="s">
        <v>26</v>
      </c>
      <c r="G23" s="139"/>
      <c r="H23" s="140"/>
      <c r="I23" s="145"/>
      <c r="J23" s="146"/>
      <c r="K23" s="147"/>
      <c r="L23" s="38"/>
      <c r="M23" s="1"/>
    </row>
    <row r="24" spans="2:13" ht="4.1500000000000004" customHeight="1" x14ac:dyDescent="0.25">
      <c r="B24" s="143"/>
      <c r="C24" s="143"/>
      <c r="D24" s="144"/>
      <c r="E24" s="134"/>
      <c r="F24" s="135"/>
      <c r="G24" s="135"/>
      <c r="H24" s="135"/>
      <c r="I24" s="135"/>
      <c r="J24" s="135"/>
      <c r="K24" s="135"/>
      <c r="L24" s="136"/>
      <c r="M24" s="1"/>
    </row>
    <row r="25" spans="2:13" ht="25.9" customHeight="1" thickBot="1" x14ac:dyDescent="0.3">
      <c r="B25" s="143"/>
      <c r="C25" s="143"/>
      <c r="D25" s="144"/>
      <c r="E25" s="39"/>
      <c r="F25" s="137" t="s">
        <v>38</v>
      </c>
      <c r="G25" s="137"/>
      <c r="H25" s="137"/>
      <c r="I25" s="137"/>
      <c r="J25" s="137"/>
      <c r="K25" s="137"/>
      <c r="L25" s="138"/>
      <c r="M25" s="1"/>
    </row>
    <row r="26" spans="2:13" ht="10.9" customHeight="1" thickBot="1" x14ac:dyDescent="0.3">
      <c r="B26" s="33"/>
      <c r="C26" s="33"/>
      <c r="D26" s="33"/>
      <c r="E26" s="146"/>
      <c r="F26" s="146"/>
      <c r="G26" s="146"/>
      <c r="H26" s="146"/>
      <c r="I26" s="146"/>
      <c r="J26" s="146"/>
      <c r="K26" s="146"/>
      <c r="L26" s="146"/>
      <c r="M26" s="1"/>
    </row>
    <row r="27" spans="2:13" x14ac:dyDescent="0.25">
      <c r="B27" s="143" t="s">
        <v>23</v>
      </c>
      <c r="C27" s="143"/>
      <c r="D27" s="144"/>
      <c r="E27" s="24" t="s">
        <v>19</v>
      </c>
      <c r="F27" s="25"/>
      <c r="G27" s="25"/>
      <c r="H27" s="25"/>
      <c r="I27" s="25"/>
      <c r="J27" s="25"/>
      <c r="K27" s="25"/>
      <c r="L27" s="26"/>
      <c r="M27" s="1"/>
    </row>
    <row r="28" spans="2:13" ht="57" customHeight="1" x14ac:dyDescent="0.25">
      <c r="B28" s="143"/>
      <c r="C28" s="143"/>
      <c r="D28" s="144"/>
      <c r="E28" s="148" t="s">
        <v>88</v>
      </c>
      <c r="F28" s="149"/>
      <c r="G28" s="149"/>
      <c r="H28" s="149"/>
      <c r="I28" s="149"/>
      <c r="J28" s="149"/>
      <c r="K28" s="149"/>
      <c r="L28" s="150"/>
      <c r="M28" s="1"/>
    </row>
    <row r="29" spans="2:13" x14ac:dyDescent="0.25">
      <c r="B29" s="143"/>
      <c r="C29" s="143"/>
      <c r="D29" s="144"/>
      <c r="E29" s="148"/>
      <c r="F29" s="149"/>
      <c r="G29" s="149"/>
      <c r="H29" s="149"/>
      <c r="I29" s="149"/>
      <c r="J29" s="149"/>
      <c r="K29" s="149"/>
      <c r="L29" s="150"/>
      <c r="M29" s="1"/>
    </row>
    <row r="30" spans="2:13" x14ac:dyDescent="0.25">
      <c r="B30" s="143"/>
      <c r="C30" s="143"/>
      <c r="D30" s="144"/>
      <c r="E30" s="148"/>
      <c r="F30" s="149"/>
      <c r="G30" s="149"/>
      <c r="H30" s="149"/>
      <c r="I30" s="149"/>
      <c r="J30" s="149"/>
      <c r="K30" s="149"/>
      <c r="L30" s="150"/>
      <c r="M30" s="1"/>
    </row>
    <row r="31" spans="2:13" ht="15.75" thickBot="1" x14ac:dyDescent="0.3">
      <c r="B31" s="143"/>
      <c r="C31" s="143"/>
      <c r="D31" s="144"/>
      <c r="E31" s="151"/>
      <c r="F31" s="152"/>
      <c r="G31" s="152"/>
      <c r="H31" s="152"/>
      <c r="I31" s="152"/>
      <c r="J31" s="152"/>
      <c r="K31" s="152"/>
      <c r="L31" s="153"/>
      <c r="M31" s="1"/>
    </row>
    <row r="32" spans="2:13" x14ac:dyDescent="0.25">
      <c r="B32" s="143"/>
      <c r="C32" s="143"/>
      <c r="D32" s="144"/>
      <c r="E32" s="24" t="s">
        <v>20</v>
      </c>
      <c r="F32" s="28"/>
      <c r="G32" s="28"/>
      <c r="H32" s="28"/>
      <c r="I32" s="28"/>
      <c r="J32" s="28"/>
      <c r="K32" s="28"/>
      <c r="L32" s="29"/>
      <c r="M32" s="1"/>
    </row>
    <row r="33" spans="2:13" x14ac:dyDescent="0.25">
      <c r="B33" s="143"/>
      <c r="C33" s="143"/>
      <c r="D33" s="144"/>
      <c r="E33" s="27"/>
      <c r="F33" s="28"/>
      <c r="G33" s="28"/>
      <c r="H33" s="28"/>
      <c r="I33" s="28"/>
      <c r="J33" s="28"/>
      <c r="K33" s="28"/>
      <c r="L33" s="29"/>
      <c r="M33" s="1"/>
    </row>
    <row r="34" spans="2:13" x14ac:dyDescent="0.25">
      <c r="B34" s="143"/>
      <c r="C34" s="143"/>
      <c r="D34" s="144"/>
      <c r="E34" s="27"/>
      <c r="F34" s="28"/>
      <c r="G34" s="28"/>
      <c r="H34" s="28"/>
      <c r="I34" s="28"/>
      <c r="J34" s="28"/>
      <c r="K34" s="28"/>
      <c r="L34" s="29"/>
      <c r="M34" s="1"/>
    </row>
    <row r="35" spans="2:13" x14ac:dyDescent="0.25">
      <c r="B35" s="143"/>
      <c r="C35" s="143"/>
      <c r="D35" s="144"/>
      <c r="E35" s="27"/>
      <c r="F35" s="28"/>
      <c r="G35" s="28"/>
      <c r="H35" s="28"/>
      <c r="I35" s="28"/>
      <c r="J35" s="28"/>
      <c r="K35" s="28"/>
      <c r="L35" s="29"/>
      <c r="M35" s="1"/>
    </row>
    <row r="36" spans="2:13" ht="15.75" thickBot="1" x14ac:dyDescent="0.3">
      <c r="B36" s="143"/>
      <c r="C36" s="143"/>
      <c r="D36" s="144"/>
      <c r="E36" s="30"/>
      <c r="F36" s="31"/>
      <c r="G36" s="31"/>
      <c r="H36" s="31"/>
      <c r="I36" s="31"/>
      <c r="J36" s="31"/>
      <c r="K36" s="31"/>
      <c r="L36" s="32"/>
      <c r="M36" s="1"/>
    </row>
    <row r="37" spans="2:13" ht="16.899999999999999" customHeight="1" thickBot="1" x14ac:dyDescent="0.3"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1"/>
    </row>
    <row r="38" spans="2:13" x14ac:dyDescent="0.25">
      <c r="B38" s="128" t="s">
        <v>12</v>
      </c>
      <c r="C38" s="129"/>
      <c r="D38" s="141" t="s">
        <v>13</v>
      </c>
      <c r="E38" s="133"/>
      <c r="F38" s="141" t="s">
        <v>30</v>
      </c>
      <c r="G38" s="132"/>
      <c r="H38" s="133"/>
      <c r="I38" s="132" t="s">
        <v>18</v>
      </c>
      <c r="J38" s="132"/>
      <c r="K38" s="132"/>
      <c r="L38" s="133"/>
      <c r="M38" s="1"/>
    </row>
    <row r="39" spans="2:13" ht="15.75" thickBot="1" x14ac:dyDescent="0.3">
      <c r="B39" s="130"/>
      <c r="C39" s="131"/>
      <c r="D39" s="142"/>
      <c r="E39" s="138"/>
      <c r="F39" s="142"/>
      <c r="G39" s="137"/>
      <c r="H39" s="138"/>
      <c r="I39" s="137"/>
      <c r="J39" s="137"/>
      <c r="K39" s="137"/>
      <c r="L39" s="138"/>
      <c r="M39" s="1"/>
    </row>
    <row r="40" spans="2:13" ht="25.9" customHeight="1" thickBot="1" x14ac:dyDescent="0.3">
      <c r="B40" s="49" t="s">
        <v>40</v>
      </c>
      <c r="C40" s="40"/>
      <c r="D40" s="40"/>
      <c r="E40" s="40"/>
      <c r="F40" s="40"/>
      <c r="G40" s="40"/>
      <c r="H40" s="40"/>
      <c r="I40" s="40"/>
      <c r="J40" s="40"/>
      <c r="K40" s="40"/>
      <c r="L40" s="40"/>
    </row>
    <row r="41" spans="2:13" ht="25.15" customHeight="1" thickBot="1" x14ac:dyDescent="0.3">
      <c r="B41" s="3" t="s">
        <v>69</v>
      </c>
      <c r="C41" s="57" t="s">
        <v>72</v>
      </c>
      <c r="D41" s="58" t="s">
        <v>84</v>
      </c>
      <c r="E41" s="58"/>
      <c r="F41" s="58"/>
      <c r="G41" s="58"/>
      <c r="H41" s="103"/>
      <c r="I41" s="103"/>
      <c r="J41" s="103"/>
      <c r="K41" s="103"/>
      <c r="L41" s="104"/>
    </row>
    <row r="42" spans="2:13" ht="25.15" customHeight="1" thickBot="1" x14ac:dyDescent="0.3">
      <c r="B42" s="3" t="s">
        <v>0</v>
      </c>
      <c r="C42" s="45" t="s">
        <v>1</v>
      </c>
      <c r="D42" s="46"/>
      <c r="E42" s="46" t="s">
        <v>33</v>
      </c>
      <c r="F42" s="46" t="s">
        <v>2</v>
      </c>
      <c r="G42" s="46" t="s">
        <v>3</v>
      </c>
      <c r="H42" s="89" t="s">
        <v>4</v>
      </c>
      <c r="I42" s="89"/>
      <c r="J42" s="89" t="s">
        <v>5</v>
      </c>
      <c r="K42" s="89"/>
      <c r="L42" s="90"/>
    </row>
    <row r="43" spans="2:13" ht="25.15" customHeight="1" x14ac:dyDescent="0.25">
      <c r="B43" s="2">
        <v>1</v>
      </c>
      <c r="C43" s="105" t="s">
        <v>85</v>
      </c>
      <c r="D43" s="106"/>
      <c r="E43" s="59">
        <v>46181</v>
      </c>
      <c r="F43" s="48" t="s">
        <v>82</v>
      </c>
      <c r="G43" s="48">
        <v>1</v>
      </c>
      <c r="H43" s="102"/>
      <c r="I43" s="102"/>
      <c r="J43" s="92">
        <f>+H43*G43</f>
        <v>0</v>
      </c>
      <c r="K43" s="93"/>
      <c r="L43" s="94"/>
    </row>
    <row r="44" spans="2:13" ht="25.15" customHeight="1" x14ac:dyDescent="0.25">
      <c r="B44" s="2">
        <v>2</v>
      </c>
      <c r="C44" s="105" t="s">
        <v>86</v>
      </c>
      <c r="D44" s="106"/>
      <c r="E44" s="79">
        <v>46181</v>
      </c>
      <c r="F44" s="48" t="s">
        <v>82</v>
      </c>
      <c r="G44" s="48">
        <v>1</v>
      </c>
      <c r="H44" s="102"/>
      <c r="I44" s="102"/>
      <c r="J44" s="92">
        <f t="shared" ref="J44:J60" si="0">+H44*G44</f>
        <v>0</v>
      </c>
      <c r="K44" s="93"/>
      <c r="L44" s="94"/>
    </row>
    <row r="45" spans="2:13" ht="25.15" customHeight="1" x14ac:dyDescent="0.25">
      <c r="B45" s="2">
        <v>3</v>
      </c>
      <c r="C45" s="105" t="s">
        <v>91</v>
      </c>
      <c r="D45" s="106"/>
      <c r="E45" s="79">
        <v>46181</v>
      </c>
      <c r="F45" s="80" t="s">
        <v>82</v>
      </c>
      <c r="G45" s="80">
        <v>1</v>
      </c>
      <c r="H45" s="102"/>
      <c r="I45" s="102"/>
      <c r="J45" s="92">
        <f t="shared" si="0"/>
        <v>0</v>
      </c>
      <c r="K45" s="93"/>
      <c r="L45" s="94"/>
    </row>
    <row r="46" spans="2:13" ht="25.15" customHeight="1" x14ac:dyDescent="0.25">
      <c r="B46" s="2">
        <v>4</v>
      </c>
      <c r="C46" s="108" t="s">
        <v>92</v>
      </c>
      <c r="D46" s="109"/>
      <c r="E46" s="79">
        <v>46181</v>
      </c>
      <c r="F46" s="80" t="s">
        <v>82</v>
      </c>
      <c r="G46" s="80">
        <v>1</v>
      </c>
      <c r="H46" s="76"/>
      <c r="I46" s="76"/>
      <c r="J46" s="73"/>
      <c r="K46" s="74"/>
      <c r="L46" s="75"/>
    </row>
    <row r="47" spans="2:13" ht="25.15" customHeight="1" x14ac:dyDescent="0.25">
      <c r="B47" s="2">
        <v>5</v>
      </c>
      <c r="C47" s="108" t="s">
        <v>93</v>
      </c>
      <c r="D47" s="109"/>
      <c r="E47" s="79">
        <v>46181</v>
      </c>
      <c r="F47" s="80" t="s">
        <v>82</v>
      </c>
      <c r="G47" s="80">
        <v>1</v>
      </c>
      <c r="H47" s="76"/>
      <c r="I47" s="76"/>
      <c r="J47" s="73"/>
      <c r="K47" s="74"/>
      <c r="L47" s="75"/>
    </row>
    <row r="48" spans="2:13" ht="25.15" customHeight="1" x14ac:dyDescent="0.25">
      <c r="B48" s="2">
        <v>6</v>
      </c>
      <c r="C48" s="108" t="s">
        <v>94</v>
      </c>
      <c r="D48" s="109"/>
      <c r="E48" s="79">
        <v>46181</v>
      </c>
      <c r="F48" s="80" t="s">
        <v>82</v>
      </c>
      <c r="G48" s="80">
        <v>1</v>
      </c>
      <c r="H48" s="76"/>
      <c r="I48" s="76"/>
      <c r="J48" s="73"/>
      <c r="K48" s="74"/>
      <c r="L48" s="75"/>
    </row>
    <row r="49" spans="2:12" ht="25.15" customHeight="1" x14ac:dyDescent="0.25">
      <c r="B49" s="2">
        <v>7</v>
      </c>
      <c r="C49" s="77"/>
      <c r="D49" s="78"/>
      <c r="E49" s="59"/>
      <c r="F49" s="74"/>
      <c r="G49" s="74"/>
      <c r="H49" s="76"/>
      <c r="I49" s="76"/>
      <c r="J49" s="73"/>
      <c r="K49" s="74"/>
      <c r="L49" s="75"/>
    </row>
    <row r="50" spans="2:12" ht="25.15" customHeight="1" x14ac:dyDescent="0.25">
      <c r="B50" s="2">
        <v>8</v>
      </c>
      <c r="C50" s="77"/>
      <c r="D50" s="78"/>
      <c r="E50" s="59"/>
      <c r="F50" s="48"/>
      <c r="G50" s="48"/>
      <c r="H50" s="92"/>
      <c r="I50" s="93"/>
      <c r="J50" s="92">
        <f t="shared" si="0"/>
        <v>0</v>
      </c>
      <c r="K50" s="93"/>
      <c r="L50" s="94"/>
    </row>
    <row r="51" spans="2:12" ht="25.15" customHeight="1" x14ac:dyDescent="0.25">
      <c r="B51" s="2">
        <v>9</v>
      </c>
      <c r="C51" s="77"/>
      <c r="D51" s="78"/>
      <c r="E51" s="59"/>
      <c r="F51" s="74"/>
      <c r="G51" s="74"/>
      <c r="H51" s="73"/>
      <c r="I51" s="74"/>
      <c r="J51" s="73"/>
      <c r="K51" s="74"/>
      <c r="L51" s="75"/>
    </row>
    <row r="52" spans="2:12" ht="25.15" customHeight="1" thickBot="1" x14ac:dyDescent="0.3">
      <c r="B52" s="2">
        <v>10</v>
      </c>
      <c r="C52" s="77"/>
      <c r="D52" s="78"/>
      <c r="E52" s="59"/>
      <c r="F52" s="48"/>
      <c r="G52" s="48"/>
      <c r="H52" s="92"/>
      <c r="I52" s="93"/>
      <c r="J52" s="92">
        <f t="shared" si="0"/>
        <v>0</v>
      </c>
      <c r="K52" s="93"/>
      <c r="L52" s="94"/>
    </row>
    <row r="53" spans="2:12" ht="25.15" customHeight="1" thickBot="1" x14ac:dyDescent="0.3">
      <c r="B53" s="101" t="s">
        <v>74</v>
      </c>
      <c r="C53" s="101"/>
      <c r="D53" s="101"/>
      <c r="E53" s="101"/>
      <c r="F53" s="101"/>
      <c r="G53" s="101"/>
      <c r="H53" s="101"/>
      <c r="I53" s="101"/>
      <c r="J53" s="96">
        <f>+SUM(J43:L52)</f>
        <v>0</v>
      </c>
      <c r="K53" s="97"/>
      <c r="L53" s="98"/>
    </row>
    <row r="54" spans="2:12" ht="25.15" customHeight="1" thickBot="1" x14ac:dyDescent="0.3">
      <c r="B54" s="3" t="s">
        <v>70</v>
      </c>
      <c r="C54" s="57" t="s">
        <v>71</v>
      </c>
      <c r="D54" s="58"/>
      <c r="E54" s="58"/>
      <c r="F54" s="58"/>
      <c r="G54" s="58"/>
      <c r="H54" s="103"/>
      <c r="I54" s="103"/>
      <c r="J54" s="103"/>
      <c r="K54" s="103"/>
      <c r="L54" s="104"/>
    </row>
    <row r="55" spans="2:12" ht="25.15" customHeight="1" thickBot="1" x14ac:dyDescent="0.3">
      <c r="B55" s="3" t="s">
        <v>0</v>
      </c>
      <c r="C55" s="45" t="s">
        <v>1</v>
      </c>
      <c r="D55" s="46"/>
      <c r="E55" s="46" t="s">
        <v>33</v>
      </c>
      <c r="F55" s="46" t="s">
        <v>2</v>
      </c>
      <c r="G55" s="46" t="s">
        <v>3</v>
      </c>
      <c r="H55" s="89" t="s">
        <v>4</v>
      </c>
      <c r="I55" s="89"/>
      <c r="J55" s="89" t="s">
        <v>5</v>
      </c>
      <c r="K55" s="89"/>
      <c r="L55" s="90"/>
    </row>
    <row r="56" spans="2:12" ht="25.15" customHeight="1" x14ac:dyDescent="0.25">
      <c r="B56" s="2">
        <v>1</v>
      </c>
      <c r="C56" s="107" t="s">
        <v>89</v>
      </c>
      <c r="D56" s="93"/>
      <c r="E56" s="59">
        <v>46181</v>
      </c>
      <c r="F56" s="48" t="s">
        <v>90</v>
      </c>
      <c r="G56" s="48">
        <f>12*2.64</f>
        <v>31.68</v>
      </c>
      <c r="H56" s="92"/>
      <c r="I56" s="93"/>
      <c r="J56" s="92">
        <f t="shared" si="0"/>
        <v>0</v>
      </c>
      <c r="K56" s="93"/>
      <c r="L56" s="94"/>
    </row>
    <row r="57" spans="2:12" ht="25.15" customHeight="1" x14ac:dyDescent="0.25">
      <c r="B57" s="2">
        <v>2</v>
      </c>
      <c r="C57" s="107"/>
      <c r="D57" s="93"/>
      <c r="E57" s="59"/>
      <c r="F57" s="48"/>
      <c r="G57" s="48"/>
      <c r="H57" s="92"/>
      <c r="I57" s="93"/>
      <c r="J57" s="92">
        <f t="shared" si="0"/>
        <v>0</v>
      </c>
      <c r="K57" s="93"/>
      <c r="L57" s="94"/>
    </row>
    <row r="58" spans="2:12" ht="25.15" customHeight="1" x14ac:dyDescent="0.25">
      <c r="B58" s="2">
        <v>3</v>
      </c>
      <c r="C58" s="107"/>
      <c r="D58" s="93"/>
      <c r="E58" s="59"/>
      <c r="F58" s="48"/>
      <c r="G58" s="48"/>
      <c r="H58" s="92"/>
      <c r="I58" s="93"/>
      <c r="J58" s="92">
        <f t="shared" si="0"/>
        <v>0</v>
      </c>
      <c r="K58" s="93"/>
      <c r="L58" s="94"/>
    </row>
    <row r="59" spans="2:12" ht="25.15" customHeight="1" x14ac:dyDescent="0.25">
      <c r="B59" s="2">
        <v>4</v>
      </c>
      <c r="C59" s="107"/>
      <c r="D59" s="93"/>
      <c r="E59" s="59"/>
      <c r="F59" s="48"/>
      <c r="G59" s="48"/>
      <c r="H59" s="92"/>
      <c r="I59" s="93"/>
      <c r="J59" s="92">
        <f t="shared" si="0"/>
        <v>0</v>
      </c>
      <c r="K59" s="93"/>
      <c r="L59" s="94"/>
    </row>
    <row r="60" spans="2:12" ht="25.15" customHeight="1" thickBot="1" x14ac:dyDescent="0.3">
      <c r="B60" s="2">
        <v>5</v>
      </c>
      <c r="C60" s="107"/>
      <c r="D60" s="93"/>
      <c r="E60" s="47"/>
      <c r="F60" s="48"/>
      <c r="G60" s="48"/>
      <c r="H60" s="92"/>
      <c r="I60" s="93"/>
      <c r="J60" s="92">
        <f t="shared" si="0"/>
        <v>0</v>
      </c>
      <c r="K60" s="93"/>
      <c r="L60" s="94"/>
    </row>
    <row r="61" spans="2:12" ht="25.15" customHeight="1" thickBot="1" x14ac:dyDescent="0.3">
      <c r="B61" s="101" t="s">
        <v>74</v>
      </c>
      <c r="C61" s="101"/>
      <c r="D61" s="101"/>
      <c r="E61" s="101"/>
      <c r="F61" s="101"/>
      <c r="G61" s="101"/>
      <c r="H61" s="101"/>
      <c r="I61" s="101"/>
      <c r="J61" s="96">
        <f>+SUM(J56:L60)</f>
        <v>0</v>
      </c>
      <c r="K61" s="97"/>
      <c r="L61" s="98"/>
    </row>
    <row r="62" spans="2:12" ht="25.15" customHeight="1" thickBot="1" x14ac:dyDescent="0.3">
      <c r="B62" s="101" t="s">
        <v>6</v>
      </c>
      <c r="C62" s="101"/>
      <c r="D62" s="101"/>
      <c r="E62" s="101"/>
      <c r="F62" s="101"/>
      <c r="G62" s="101"/>
      <c r="H62" s="101"/>
      <c r="I62" s="101"/>
      <c r="J62" s="96">
        <f>+J61+J53</f>
        <v>0</v>
      </c>
      <c r="K62" s="97"/>
      <c r="L62" s="98"/>
    </row>
    <row r="63" spans="2:12" ht="18.600000000000001" customHeight="1" thickBot="1" x14ac:dyDescent="0.3">
      <c r="B63" s="40"/>
      <c r="C63" s="40"/>
      <c r="D63" s="40"/>
      <c r="E63" s="40"/>
      <c r="F63" s="40"/>
      <c r="G63" s="40"/>
      <c r="H63" s="95"/>
      <c r="I63" s="95"/>
      <c r="J63" s="99"/>
      <c r="K63" s="100"/>
      <c r="L63" s="100"/>
    </row>
    <row r="64" spans="2:12" ht="21" customHeight="1" x14ac:dyDescent="0.25">
      <c r="B64" s="87" t="s">
        <v>15</v>
      </c>
      <c r="C64" s="85"/>
      <c r="D64" s="85"/>
      <c r="E64" s="86"/>
      <c r="F64" s="85" t="s">
        <v>14</v>
      </c>
      <c r="G64" s="85"/>
      <c r="H64" s="86"/>
      <c r="I64" s="87" t="s">
        <v>22</v>
      </c>
      <c r="J64" s="85"/>
      <c r="K64" s="85"/>
      <c r="L64" s="91"/>
    </row>
    <row r="65" spans="2:12" ht="8.25" customHeight="1" x14ac:dyDescent="0.25">
      <c r="B65" s="5"/>
      <c r="C65" s="6"/>
      <c r="D65" s="6"/>
      <c r="E65" s="7"/>
      <c r="F65" s="4"/>
      <c r="G65" s="4"/>
      <c r="H65" s="4"/>
      <c r="I65" s="8"/>
      <c r="J65" s="4"/>
      <c r="K65" s="4"/>
      <c r="L65" s="17"/>
    </row>
    <row r="66" spans="2:12" s="1" customFormat="1" ht="14.45" customHeight="1" x14ac:dyDescent="0.25">
      <c r="B66" s="8"/>
      <c r="C66" s="4"/>
      <c r="D66" s="4"/>
      <c r="E66" s="9"/>
      <c r="F66" s="81" t="s">
        <v>29</v>
      </c>
      <c r="G66" s="82"/>
      <c r="H66" s="83"/>
      <c r="I66" s="8"/>
      <c r="J66" s="4"/>
      <c r="K66" s="4"/>
      <c r="L66" s="17"/>
    </row>
    <row r="67" spans="2:12" x14ac:dyDescent="0.25">
      <c r="B67" s="8"/>
      <c r="C67" s="4"/>
      <c r="D67" s="4"/>
      <c r="E67" s="9"/>
      <c r="F67" s="84"/>
      <c r="G67" s="82"/>
      <c r="H67" s="83"/>
      <c r="I67" s="8"/>
      <c r="J67" s="4"/>
      <c r="K67" s="4"/>
      <c r="L67" s="17"/>
    </row>
    <row r="68" spans="2:12" ht="15" customHeight="1" x14ac:dyDescent="0.25">
      <c r="B68" s="8"/>
      <c r="C68" s="4"/>
      <c r="D68" s="4"/>
      <c r="E68" s="9"/>
      <c r="F68" s="81"/>
      <c r="G68" s="82"/>
      <c r="H68" s="83"/>
      <c r="I68" s="8"/>
      <c r="J68" s="4"/>
      <c r="K68" s="4"/>
      <c r="L68" s="17"/>
    </row>
    <row r="69" spans="2:12" x14ac:dyDescent="0.25">
      <c r="B69" s="8"/>
      <c r="C69" s="4"/>
      <c r="D69" s="4"/>
      <c r="E69" s="9"/>
      <c r="F69" s="84"/>
      <c r="G69" s="82"/>
      <c r="H69" s="83"/>
      <c r="I69" s="8"/>
      <c r="J69" s="4"/>
      <c r="K69" s="4"/>
      <c r="L69" s="17"/>
    </row>
    <row r="70" spans="2:12" x14ac:dyDescent="0.25">
      <c r="B70" s="8"/>
      <c r="C70" s="4"/>
      <c r="D70" s="4"/>
      <c r="E70" s="9"/>
      <c r="F70" s="19"/>
      <c r="G70" s="20"/>
      <c r="H70" s="21"/>
      <c r="I70" s="8"/>
      <c r="J70" s="4"/>
      <c r="K70" s="4"/>
      <c r="L70" s="17"/>
    </row>
    <row r="71" spans="2:12" x14ac:dyDescent="0.25">
      <c r="B71" s="8"/>
      <c r="C71" s="4"/>
      <c r="D71" s="4"/>
      <c r="E71" s="9"/>
      <c r="F71" s="19"/>
      <c r="G71" s="20"/>
      <c r="H71" s="21"/>
      <c r="I71" s="8"/>
      <c r="J71" s="4"/>
      <c r="K71" s="4"/>
      <c r="L71" s="17"/>
    </row>
    <row r="72" spans="2:12" x14ac:dyDescent="0.25">
      <c r="B72" s="8"/>
      <c r="C72" s="4"/>
      <c r="D72" s="4"/>
      <c r="E72" s="9"/>
      <c r="F72" s="19"/>
      <c r="G72" s="20"/>
      <c r="H72" s="21"/>
      <c r="I72" s="8"/>
      <c r="J72" s="4"/>
      <c r="K72" s="4"/>
      <c r="L72" s="17"/>
    </row>
    <row r="73" spans="2:12" x14ac:dyDescent="0.25">
      <c r="B73" s="8"/>
      <c r="C73" s="4"/>
      <c r="D73" s="4"/>
      <c r="E73" s="9"/>
      <c r="F73" s="4"/>
      <c r="G73" s="4"/>
      <c r="H73" s="4"/>
      <c r="I73" s="8"/>
      <c r="J73" s="4"/>
      <c r="K73" s="4"/>
      <c r="L73" s="17"/>
    </row>
    <row r="74" spans="2:12" ht="15.75" thickBot="1" x14ac:dyDescent="0.3">
      <c r="B74" s="10"/>
      <c r="C74" s="11"/>
      <c r="D74" s="11"/>
      <c r="E74" s="12"/>
      <c r="F74" s="4"/>
      <c r="G74" s="4"/>
      <c r="H74" s="4"/>
      <c r="I74" s="8"/>
      <c r="J74" s="4"/>
      <c r="K74" s="4"/>
      <c r="L74" s="17"/>
    </row>
    <row r="75" spans="2:12" ht="21" customHeight="1" x14ac:dyDescent="0.25">
      <c r="B75" s="88" t="s">
        <v>27</v>
      </c>
      <c r="C75" s="85"/>
      <c r="D75" s="85"/>
      <c r="E75" s="86"/>
      <c r="F75" s="85" t="s">
        <v>68</v>
      </c>
      <c r="G75" s="85"/>
      <c r="H75" s="86"/>
      <c r="I75" s="87" t="s">
        <v>31</v>
      </c>
      <c r="J75" s="85"/>
      <c r="K75" s="85"/>
      <c r="L75" s="91"/>
    </row>
    <row r="76" spans="2:12" ht="19.899999999999999" customHeight="1" x14ac:dyDescent="0.25">
      <c r="B76" s="155"/>
      <c r="C76" s="156"/>
      <c r="D76" s="156"/>
      <c r="E76" s="157"/>
      <c r="F76" s="163" t="s">
        <v>75</v>
      </c>
      <c r="G76" s="164"/>
      <c r="H76" s="165"/>
      <c r="I76" s="169" t="s">
        <v>25</v>
      </c>
      <c r="J76" s="170"/>
      <c r="K76" s="170"/>
      <c r="L76" s="171"/>
    </row>
    <row r="77" spans="2:12" ht="19.899999999999999" customHeight="1" x14ac:dyDescent="0.25">
      <c r="B77" s="158"/>
      <c r="C77" s="159"/>
      <c r="D77" s="159"/>
      <c r="E77" s="160"/>
      <c r="F77" s="166"/>
      <c r="G77" s="167"/>
      <c r="H77" s="168"/>
      <c r="I77" s="172"/>
      <c r="J77" s="173"/>
      <c r="K77" s="173"/>
      <c r="L77" s="174"/>
    </row>
    <row r="78" spans="2:12" ht="19.899999999999999" customHeight="1" x14ac:dyDescent="0.25">
      <c r="B78" s="158"/>
      <c r="C78" s="159"/>
      <c r="D78" s="159"/>
      <c r="E78" s="160"/>
      <c r="F78" s="166"/>
      <c r="G78" s="167"/>
      <c r="H78" s="168"/>
      <c r="I78" s="8"/>
      <c r="J78" s="4"/>
      <c r="K78" s="4"/>
      <c r="L78" s="9"/>
    </row>
    <row r="79" spans="2:12" ht="14.45" customHeight="1" x14ac:dyDescent="0.25">
      <c r="B79" s="13"/>
      <c r="C79" s="4"/>
      <c r="D79" s="4"/>
      <c r="E79" s="9"/>
      <c r="F79" s="4"/>
      <c r="G79" s="4"/>
      <c r="H79" s="9"/>
      <c r="I79" s="175"/>
      <c r="J79" s="176"/>
      <c r="K79" s="176"/>
      <c r="L79" s="177"/>
    </row>
    <row r="80" spans="2:12" ht="14.65" customHeight="1" x14ac:dyDescent="0.25">
      <c r="B80" s="13"/>
      <c r="C80" s="4"/>
      <c r="D80" s="4"/>
      <c r="E80" s="9"/>
      <c r="F80" s="15"/>
      <c r="G80" s="15"/>
      <c r="H80" s="16"/>
      <c r="I80" s="175"/>
      <c r="J80" s="176"/>
      <c r="K80" s="176"/>
      <c r="L80" s="177"/>
    </row>
    <row r="81" spans="2:12" x14ac:dyDescent="0.25">
      <c r="B81" s="13"/>
      <c r="C81" s="4"/>
      <c r="D81" s="4"/>
      <c r="E81" s="9"/>
      <c r="F81" s="15"/>
      <c r="G81" s="15"/>
      <c r="H81" s="16"/>
      <c r="I81" s="8"/>
      <c r="J81" s="4"/>
      <c r="K81" s="4"/>
      <c r="L81" s="9"/>
    </row>
    <row r="82" spans="2:12" x14ac:dyDescent="0.25">
      <c r="B82" s="13"/>
      <c r="C82" s="4"/>
      <c r="D82" s="4"/>
      <c r="E82" s="9"/>
      <c r="F82" s="4"/>
      <c r="G82" s="4"/>
      <c r="H82" s="9"/>
      <c r="I82" s="4"/>
      <c r="J82" s="4"/>
      <c r="K82" s="4"/>
      <c r="L82" s="17"/>
    </row>
    <row r="83" spans="2:12" x14ac:dyDescent="0.25">
      <c r="B83" s="13"/>
      <c r="C83" s="4"/>
      <c r="D83" s="4"/>
      <c r="E83" s="9"/>
      <c r="F83" s="4"/>
      <c r="G83" s="4"/>
      <c r="H83" s="9"/>
      <c r="I83" s="4"/>
      <c r="J83" s="4"/>
      <c r="K83" s="4"/>
      <c r="L83" s="17"/>
    </row>
    <row r="84" spans="2:12" x14ac:dyDescent="0.25">
      <c r="B84" s="13"/>
      <c r="C84" s="4"/>
      <c r="D84" s="4"/>
      <c r="E84" s="9"/>
      <c r="F84" s="4"/>
      <c r="G84" s="4"/>
      <c r="H84" s="9"/>
      <c r="I84" s="4"/>
      <c r="J84" s="4"/>
      <c r="K84" s="4"/>
      <c r="L84" s="17"/>
    </row>
    <row r="85" spans="2:12" ht="15.75" thickBot="1" x14ac:dyDescent="0.3">
      <c r="B85" s="14"/>
      <c r="C85" s="11"/>
      <c r="D85" s="11"/>
      <c r="E85" s="12"/>
      <c r="F85" s="11"/>
      <c r="G85" s="11"/>
      <c r="H85" s="12"/>
      <c r="I85" s="11"/>
      <c r="J85" s="11"/>
      <c r="K85" s="11"/>
      <c r="L85" s="18"/>
    </row>
    <row r="86" spans="2:12" ht="21" customHeight="1" x14ac:dyDescent="0.25">
      <c r="B86" s="87" t="s">
        <v>24</v>
      </c>
      <c r="C86" s="85"/>
      <c r="D86" s="85"/>
      <c r="E86" s="86"/>
      <c r="F86" s="85" t="s">
        <v>64</v>
      </c>
      <c r="G86" s="85"/>
      <c r="H86" s="86"/>
      <c r="I86" s="54" t="s">
        <v>67</v>
      </c>
      <c r="J86" s="55"/>
      <c r="K86" s="56" t="s">
        <v>56</v>
      </c>
      <c r="L86" s="56"/>
    </row>
    <row r="87" spans="2:12" ht="14.65" customHeight="1" x14ac:dyDescent="0.25">
      <c r="B87" s="22"/>
      <c r="C87" s="23"/>
      <c r="D87" s="23"/>
      <c r="E87" s="7"/>
      <c r="F87" s="6"/>
      <c r="G87" s="6"/>
      <c r="H87" s="7"/>
      <c r="I87" s="5"/>
      <c r="J87" s="7"/>
      <c r="K87" s="4"/>
      <c r="L87" s="17"/>
    </row>
    <row r="88" spans="2:12" ht="14.65" customHeight="1" x14ac:dyDescent="0.25">
      <c r="B88" s="8"/>
      <c r="C88" s="161" t="s">
        <v>62</v>
      </c>
      <c r="D88" s="161"/>
      <c r="E88" s="162"/>
      <c r="F88" s="15"/>
      <c r="G88" s="15"/>
      <c r="H88" s="16"/>
      <c r="I88" s="8"/>
      <c r="J88" s="9"/>
      <c r="K88" s="4"/>
      <c r="L88" s="17"/>
    </row>
    <row r="89" spans="2:12" x14ac:dyDescent="0.25">
      <c r="B89" s="8"/>
      <c r="C89" s="161"/>
      <c r="D89" s="161"/>
      <c r="E89" s="162"/>
      <c r="F89" s="15"/>
      <c r="G89" s="15"/>
      <c r="H89" s="16"/>
      <c r="I89" s="8"/>
      <c r="J89" s="9"/>
      <c r="K89" s="4"/>
      <c r="L89" s="17"/>
    </row>
    <row r="90" spans="2:12" x14ac:dyDescent="0.25">
      <c r="B90" s="8"/>
      <c r="C90" s="4" t="s">
        <v>63</v>
      </c>
      <c r="D90" s="4"/>
      <c r="E90" s="9"/>
      <c r="F90" s="4"/>
      <c r="G90" s="4"/>
      <c r="H90" s="9"/>
      <c r="I90" s="8"/>
      <c r="J90" s="9"/>
      <c r="K90" s="4"/>
      <c r="L90" s="17"/>
    </row>
    <row r="91" spans="2:12" ht="14.65" customHeight="1" x14ac:dyDescent="0.25">
      <c r="B91" s="8"/>
      <c r="C91" s="161"/>
      <c r="D91" s="161"/>
      <c r="E91" s="162"/>
      <c r="F91" s="15"/>
      <c r="G91" s="15"/>
      <c r="H91" s="16"/>
      <c r="I91" s="8"/>
      <c r="J91" s="9"/>
      <c r="K91" s="4"/>
      <c r="L91" s="17"/>
    </row>
    <row r="92" spans="2:12" x14ac:dyDescent="0.25">
      <c r="B92" s="8"/>
      <c r="C92" s="161"/>
      <c r="D92" s="161"/>
      <c r="E92" s="162"/>
      <c r="F92" s="15"/>
      <c r="G92" s="15"/>
      <c r="H92" s="16"/>
      <c r="I92" s="8"/>
      <c r="J92" s="9"/>
      <c r="K92" s="4"/>
      <c r="L92" s="17"/>
    </row>
    <row r="93" spans="2:12" x14ac:dyDescent="0.25">
      <c r="B93" s="8"/>
      <c r="C93" s="4"/>
      <c r="D93" s="4"/>
      <c r="E93" s="9"/>
      <c r="F93" s="4"/>
      <c r="G93" s="4"/>
      <c r="H93" s="9"/>
      <c r="I93" s="8"/>
      <c r="J93" s="9"/>
      <c r="K93" s="4"/>
      <c r="L93" s="17"/>
    </row>
    <row r="94" spans="2:12" x14ac:dyDescent="0.25">
      <c r="B94" s="8"/>
      <c r="C94" s="4"/>
      <c r="D94" s="4"/>
      <c r="E94" s="9"/>
      <c r="F94" s="4"/>
      <c r="G94" s="4"/>
      <c r="H94" s="9"/>
      <c r="I94" s="8"/>
      <c r="J94" s="9"/>
      <c r="K94" s="4"/>
      <c r="L94" s="17"/>
    </row>
    <row r="95" spans="2:12" ht="15.75" thickBot="1" x14ac:dyDescent="0.3">
      <c r="B95" s="10"/>
      <c r="C95" s="11"/>
      <c r="D95" s="11"/>
      <c r="E95" s="12"/>
      <c r="F95" s="11"/>
      <c r="G95" s="11"/>
      <c r="H95" s="12"/>
      <c r="I95" s="10"/>
      <c r="J95" s="12"/>
      <c r="K95" s="11"/>
      <c r="L95" s="18"/>
    </row>
    <row r="96" spans="2:12" ht="21" customHeight="1" x14ac:dyDescent="0.25">
      <c r="B96" s="87" t="s">
        <v>57</v>
      </c>
      <c r="C96" s="85"/>
      <c r="D96" s="85"/>
      <c r="E96" s="86"/>
      <c r="F96" s="85" t="s">
        <v>32</v>
      </c>
      <c r="G96" s="85"/>
      <c r="H96" s="86"/>
      <c r="I96" s="87" t="s">
        <v>28</v>
      </c>
      <c r="J96" s="85"/>
      <c r="K96" s="85"/>
      <c r="L96" s="91"/>
    </row>
    <row r="97" spans="2:12" ht="14.65" customHeight="1" x14ac:dyDescent="0.25">
      <c r="B97" s="22"/>
      <c r="C97" s="23"/>
      <c r="D97" s="23"/>
      <c r="E97" s="7"/>
      <c r="F97" s="6"/>
      <c r="G97" s="6"/>
      <c r="H97" s="7"/>
      <c r="I97" s="4"/>
      <c r="J97" s="4"/>
      <c r="K97" s="4"/>
      <c r="L97" s="17"/>
    </row>
    <row r="98" spans="2:12" ht="14.65" customHeight="1" x14ac:dyDescent="0.25">
      <c r="B98" s="8"/>
      <c r="C98" s="161"/>
      <c r="D98" s="161"/>
      <c r="E98" s="162"/>
      <c r="F98" s="15"/>
      <c r="G98" s="15"/>
      <c r="H98" s="16"/>
      <c r="I98" s="4"/>
      <c r="J98" s="4"/>
      <c r="K98" s="4"/>
      <c r="L98" s="17"/>
    </row>
    <row r="99" spans="2:12" x14ac:dyDescent="0.25">
      <c r="B99" s="8"/>
      <c r="C99" s="161"/>
      <c r="D99" s="161"/>
      <c r="E99" s="162"/>
      <c r="F99" s="15"/>
      <c r="G99" s="15"/>
      <c r="H99" s="16"/>
      <c r="I99" s="4"/>
      <c r="J99" s="4"/>
      <c r="K99" s="4"/>
      <c r="L99" s="17"/>
    </row>
    <row r="100" spans="2:12" x14ac:dyDescent="0.25">
      <c r="B100" s="8"/>
      <c r="C100" s="4"/>
      <c r="D100" s="4"/>
      <c r="E100" s="9"/>
      <c r="F100" s="4"/>
      <c r="G100" s="4"/>
      <c r="H100" s="9"/>
      <c r="I100" s="4"/>
      <c r="J100" s="4"/>
      <c r="K100" s="4"/>
      <c r="L100" s="17"/>
    </row>
    <row r="101" spans="2:12" ht="14.65" customHeight="1" x14ac:dyDescent="0.25">
      <c r="B101" s="8"/>
      <c r="C101" s="161"/>
      <c r="D101" s="161"/>
      <c r="E101" s="162"/>
      <c r="F101" s="15"/>
      <c r="G101" s="15"/>
      <c r="H101" s="16"/>
      <c r="I101" s="4"/>
      <c r="J101" s="4"/>
      <c r="K101" s="4"/>
      <c r="L101" s="17"/>
    </row>
    <row r="102" spans="2:12" x14ac:dyDescent="0.25">
      <c r="B102" s="8"/>
      <c r="C102" s="161"/>
      <c r="D102" s="161"/>
      <c r="E102" s="162"/>
      <c r="F102" s="15"/>
      <c r="G102" s="15"/>
      <c r="H102" s="16"/>
      <c r="I102" s="4"/>
      <c r="J102" s="4"/>
      <c r="K102" s="4"/>
      <c r="L102" s="17"/>
    </row>
    <row r="103" spans="2:12" x14ac:dyDescent="0.25">
      <c r="B103" s="8"/>
      <c r="C103" s="4"/>
      <c r="D103" s="4"/>
      <c r="E103" s="9"/>
      <c r="F103" s="4"/>
      <c r="G103" s="4"/>
      <c r="H103" s="9"/>
      <c r="I103" s="4"/>
      <c r="J103" s="4"/>
      <c r="K103" s="4"/>
      <c r="L103" s="17"/>
    </row>
    <row r="104" spans="2:12" x14ac:dyDescent="0.25">
      <c r="B104" s="8"/>
      <c r="C104" s="4"/>
      <c r="D104" s="4"/>
      <c r="E104" s="9"/>
      <c r="F104" s="4"/>
      <c r="G104" s="4"/>
      <c r="H104" s="9"/>
      <c r="I104" s="4"/>
      <c r="J104" s="4"/>
      <c r="K104" s="4"/>
      <c r="L104" s="17"/>
    </row>
    <row r="105" spans="2:12" ht="15.75" thickBot="1" x14ac:dyDescent="0.3">
      <c r="B105" s="10"/>
      <c r="C105" s="11"/>
      <c r="D105" s="11"/>
      <c r="E105" s="12"/>
      <c r="F105" s="11"/>
      <c r="G105" s="11"/>
      <c r="H105" s="12"/>
      <c r="I105" s="11"/>
      <c r="J105" s="11"/>
      <c r="K105" s="11"/>
      <c r="L105" s="18"/>
    </row>
    <row r="106" spans="2:12" x14ac:dyDescent="0.25"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</row>
    <row r="107" spans="2:12" ht="16.149999999999999" customHeight="1" x14ac:dyDescent="0.25">
      <c r="B107" s="4"/>
      <c r="C107" s="154" t="s">
        <v>73</v>
      </c>
      <c r="D107" s="154"/>
      <c r="E107" s="154"/>
      <c r="F107" s="154"/>
      <c r="G107" s="154"/>
      <c r="H107" s="154"/>
      <c r="I107" s="154"/>
      <c r="J107" s="154"/>
      <c r="K107" s="154"/>
      <c r="L107" s="4"/>
    </row>
    <row r="108" spans="2:12" ht="16.149999999999999" customHeight="1" x14ac:dyDescent="0.25">
      <c r="B108" s="4"/>
      <c r="C108" s="154"/>
      <c r="D108" s="154"/>
      <c r="E108" s="154"/>
      <c r="F108" s="154"/>
      <c r="G108" s="154"/>
      <c r="H108" s="154"/>
      <c r="I108" s="154"/>
      <c r="J108" s="154"/>
      <c r="K108" s="154"/>
      <c r="L108" s="4"/>
    </row>
    <row r="109" spans="2:12" ht="16.149999999999999" customHeight="1" x14ac:dyDescent="0.25">
      <c r="B109" s="4"/>
      <c r="C109" s="154"/>
      <c r="D109" s="154"/>
      <c r="E109" s="154"/>
      <c r="F109" s="154"/>
      <c r="G109" s="154"/>
      <c r="H109" s="154"/>
      <c r="I109" s="154"/>
      <c r="J109" s="154"/>
      <c r="K109" s="154"/>
      <c r="L109" s="4"/>
    </row>
    <row r="110" spans="2:12" ht="16.149999999999999" customHeight="1" x14ac:dyDescent="0.25">
      <c r="B110" s="4"/>
      <c r="C110" s="154"/>
      <c r="D110" s="154"/>
      <c r="E110" s="154"/>
      <c r="F110" s="154"/>
      <c r="G110" s="154"/>
      <c r="H110" s="154"/>
      <c r="I110" s="154"/>
      <c r="J110" s="154"/>
      <c r="K110" s="154"/>
      <c r="L110" s="4"/>
    </row>
    <row r="111" spans="2:12" x14ac:dyDescent="0.25"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</row>
  </sheetData>
  <mergeCells count="100">
    <mergeCell ref="C107:K110"/>
    <mergeCell ref="B76:E78"/>
    <mergeCell ref="F86:H86"/>
    <mergeCell ref="B86:E86"/>
    <mergeCell ref="F68:H69"/>
    <mergeCell ref="C88:E89"/>
    <mergeCell ref="C91:E92"/>
    <mergeCell ref="I75:L75"/>
    <mergeCell ref="B96:E96"/>
    <mergeCell ref="F96:H96"/>
    <mergeCell ref="I96:L96"/>
    <mergeCell ref="C98:E99"/>
    <mergeCell ref="C101:E102"/>
    <mergeCell ref="F76:H78"/>
    <mergeCell ref="I76:L77"/>
    <mergeCell ref="I79:L80"/>
    <mergeCell ref="J58:L58"/>
    <mergeCell ref="H59:I59"/>
    <mergeCell ref="J59:L59"/>
    <mergeCell ref="H57:I57"/>
    <mergeCell ref="J57:L57"/>
    <mergeCell ref="B15:D25"/>
    <mergeCell ref="I19:K19"/>
    <mergeCell ref="I21:K21"/>
    <mergeCell ref="I23:K23"/>
    <mergeCell ref="F38:H39"/>
    <mergeCell ref="E26:L26"/>
    <mergeCell ref="B27:D36"/>
    <mergeCell ref="E28:L31"/>
    <mergeCell ref="B12:D13"/>
    <mergeCell ref="E12:L13"/>
    <mergeCell ref="J42:L42"/>
    <mergeCell ref="B38:C39"/>
    <mergeCell ref="F15:L15"/>
    <mergeCell ref="E18:L18"/>
    <mergeCell ref="E24:L24"/>
    <mergeCell ref="J41:L41"/>
    <mergeCell ref="F25:L25"/>
    <mergeCell ref="E16:L16"/>
    <mergeCell ref="E20:L20"/>
    <mergeCell ref="E22:L22"/>
    <mergeCell ref="I38:L39"/>
    <mergeCell ref="H42:I42"/>
    <mergeCell ref="F23:H23"/>
    <mergeCell ref="D38:E39"/>
    <mergeCell ref="B3:L3"/>
    <mergeCell ref="D7:F7"/>
    <mergeCell ref="D9:F9"/>
    <mergeCell ref="D5:F5"/>
    <mergeCell ref="I5:L5"/>
    <mergeCell ref="I7:L7"/>
    <mergeCell ref="I9:L9"/>
    <mergeCell ref="B5:C5"/>
    <mergeCell ref="B7:C7"/>
    <mergeCell ref="B9:C9"/>
    <mergeCell ref="C43:D43"/>
    <mergeCell ref="C56:D56"/>
    <mergeCell ref="B53:I53"/>
    <mergeCell ref="C44:D44"/>
    <mergeCell ref="H56:I56"/>
    <mergeCell ref="H54:I54"/>
    <mergeCell ref="H55:I55"/>
    <mergeCell ref="H43:I43"/>
    <mergeCell ref="C46:D46"/>
    <mergeCell ref="C47:D47"/>
    <mergeCell ref="C48:D48"/>
    <mergeCell ref="C45:D45"/>
    <mergeCell ref="J44:L44"/>
    <mergeCell ref="H44:I44"/>
    <mergeCell ref="H41:I41"/>
    <mergeCell ref="J53:L53"/>
    <mergeCell ref="J54:L54"/>
    <mergeCell ref="J43:L43"/>
    <mergeCell ref="J52:L52"/>
    <mergeCell ref="H45:I45"/>
    <mergeCell ref="J45:L45"/>
    <mergeCell ref="H50:I50"/>
    <mergeCell ref="J50:L50"/>
    <mergeCell ref="H52:I52"/>
    <mergeCell ref="J55:L55"/>
    <mergeCell ref="I64:L64"/>
    <mergeCell ref="J60:L60"/>
    <mergeCell ref="H63:I63"/>
    <mergeCell ref="J62:L62"/>
    <mergeCell ref="J63:L63"/>
    <mergeCell ref="B62:I62"/>
    <mergeCell ref="H60:I60"/>
    <mergeCell ref="B61:I61"/>
    <mergeCell ref="J61:L61"/>
    <mergeCell ref="C58:D58"/>
    <mergeCell ref="C59:D59"/>
    <mergeCell ref="C60:D60"/>
    <mergeCell ref="C57:D57"/>
    <mergeCell ref="J56:L56"/>
    <mergeCell ref="H58:I58"/>
    <mergeCell ref="F66:H67"/>
    <mergeCell ref="F64:H64"/>
    <mergeCell ref="B64:E64"/>
    <mergeCell ref="F75:H75"/>
    <mergeCell ref="B75:E75"/>
  </mergeCells>
  <printOptions horizontalCentered="1"/>
  <pageMargins left="0.34" right="0.24" top="0.55000000000000004" bottom="0.39370078740157483" header="0.31496062992125984" footer="0.31496062992125984"/>
  <pageSetup paperSize="9" scale="3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2:M105"/>
  <sheetViews>
    <sheetView showZeros="0" view="pageBreakPreview" zoomScale="25" zoomScaleNormal="70" zoomScaleSheetLayoutView="25" workbookViewId="0">
      <selection activeCell="R43" sqref="R43"/>
    </sheetView>
  </sheetViews>
  <sheetFormatPr defaultRowHeight="15" x14ac:dyDescent="0.25"/>
  <cols>
    <col min="2" max="2" width="6.28515625" customWidth="1"/>
    <col min="3" max="3" width="11.5703125" customWidth="1"/>
    <col min="4" max="4" width="30.28515625" customWidth="1"/>
    <col min="5" max="5" width="27.28515625" customWidth="1"/>
    <col min="6" max="6" width="19.7109375" customWidth="1"/>
    <col min="7" max="7" width="14.42578125" customWidth="1"/>
    <col min="8" max="8" width="31.28515625" customWidth="1"/>
    <col min="9" max="9" width="16.28515625" customWidth="1"/>
    <col min="10" max="10" width="18.85546875" customWidth="1"/>
    <col min="11" max="11" width="29.42578125" customWidth="1"/>
    <col min="12" max="12" width="12.140625" customWidth="1"/>
  </cols>
  <sheetData>
    <row r="2" spans="2:13" ht="19.899999999999999" customHeight="1" x14ac:dyDescent="0.25">
      <c r="B2" s="40"/>
      <c r="C2" s="40"/>
      <c r="D2" s="40"/>
      <c r="E2" s="40"/>
      <c r="F2" s="40"/>
      <c r="G2" s="40"/>
      <c r="H2" s="40"/>
      <c r="I2" s="40"/>
      <c r="J2" s="40"/>
      <c r="K2" s="41"/>
      <c r="L2" s="40"/>
    </row>
    <row r="3" spans="2:13" ht="25.15" customHeight="1" x14ac:dyDescent="0.25">
      <c r="B3" s="110" t="s">
        <v>83</v>
      </c>
      <c r="C3" s="110"/>
      <c r="D3" s="110"/>
      <c r="E3" s="110"/>
      <c r="F3" s="110"/>
      <c r="G3" s="110"/>
      <c r="H3" s="110"/>
      <c r="I3" s="110"/>
      <c r="J3" s="110"/>
      <c r="K3" s="110"/>
      <c r="L3" s="110"/>
    </row>
    <row r="4" spans="2:13" ht="19.899999999999999" customHeight="1" thickBot="1" x14ac:dyDescent="0.3"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2:13" ht="25.15" customHeight="1" thickBot="1" x14ac:dyDescent="0.3">
      <c r="B5" s="120" t="s">
        <v>8</v>
      </c>
      <c r="C5" s="120"/>
      <c r="D5" s="117">
        <f>'İLAVE İS TUT.'!D5</f>
        <v>46181</v>
      </c>
      <c r="E5" s="118"/>
      <c r="F5" s="119"/>
      <c r="G5" s="42"/>
      <c r="H5" s="43" t="s">
        <v>35</v>
      </c>
      <c r="I5" s="114" t="s">
        <v>65</v>
      </c>
      <c r="J5" s="115"/>
      <c r="K5" s="115"/>
      <c r="L5" s="116"/>
      <c r="M5" s="1"/>
    </row>
    <row r="6" spans="2:13" ht="19.899999999999999" customHeight="1" thickBot="1" x14ac:dyDescent="0.3">
      <c r="B6" s="36"/>
      <c r="C6" s="36"/>
      <c r="D6" s="36"/>
      <c r="E6" s="36"/>
      <c r="F6" s="36"/>
      <c r="G6" s="37"/>
      <c r="H6" s="37"/>
      <c r="I6" s="36"/>
      <c r="J6" s="36"/>
      <c r="K6" s="36"/>
      <c r="L6" s="36"/>
      <c r="M6" s="1"/>
    </row>
    <row r="7" spans="2:13" ht="25.15" customHeight="1" thickBot="1" x14ac:dyDescent="0.3">
      <c r="B7" s="120" t="s">
        <v>9</v>
      </c>
      <c r="C7" s="121"/>
      <c r="D7" s="178" t="str">
        <f>'İLAVE İS TUT.'!D7</f>
        <v>150</v>
      </c>
      <c r="E7" s="115"/>
      <c r="F7" s="116"/>
      <c r="G7" s="42"/>
      <c r="H7" s="43" t="s">
        <v>34</v>
      </c>
      <c r="I7" s="114" t="s">
        <v>80</v>
      </c>
      <c r="J7" s="115"/>
      <c r="K7" s="115"/>
      <c r="L7" s="116"/>
      <c r="M7" s="1"/>
    </row>
    <row r="8" spans="2:13" ht="19.899999999999999" customHeight="1" thickBot="1" x14ac:dyDescent="0.3">
      <c r="B8" s="36"/>
      <c r="C8" s="36"/>
      <c r="D8" s="36"/>
      <c r="E8" s="36"/>
      <c r="F8" s="36"/>
      <c r="G8" s="37"/>
      <c r="H8" s="37"/>
      <c r="I8" s="36"/>
      <c r="J8" s="36"/>
      <c r="K8" s="36"/>
      <c r="L8" s="36"/>
      <c r="M8" s="1"/>
    </row>
    <row r="9" spans="2:13" ht="25.15" customHeight="1" thickBot="1" x14ac:dyDescent="0.3">
      <c r="B9" s="120" t="s">
        <v>10</v>
      </c>
      <c r="C9" s="121"/>
      <c r="D9" s="114" t="s">
        <v>81</v>
      </c>
      <c r="E9" s="115"/>
      <c r="F9" s="116"/>
      <c r="G9" s="42"/>
      <c r="H9" s="43" t="s">
        <v>36</v>
      </c>
      <c r="I9" s="114" t="str">
        <f>'İLAVE İS TUT.'!I9</f>
        <v>C-Z-359/360</v>
      </c>
      <c r="J9" s="115"/>
      <c r="K9" s="115"/>
      <c r="L9" s="116"/>
      <c r="M9" s="1"/>
    </row>
    <row r="10" spans="2:13" ht="19.899999999999999" customHeight="1" x14ac:dyDescent="0.25">
      <c r="B10" s="36"/>
      <c r="C10" s="36"/>
      <c r="D10" s="36"/>
      <c r="E10" s="36"/>
      <c r="F10" s="36"/>
      <c r="G10" s="36"/>
      <c r="H10" s="44"/>
      <c r="I10" s="36"/>
      <c r="J10" s="36"/>
      <c r="K10" s="36"/>
      <c r="L10" s="36"/>
      <c r="M10" s="1"/>
    </row>
    <row r="11" spans="2:13" ht="6" customHeight="1" x14ac:dyDescent="0.25"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1"/>
    </row>
    <row r="12" spans="2:13" ht="15" customHeight="1" x14ac:dyDescent="0.25">
      <c r="B12" s="120"/>
      <c r="C12" s="120"/>
      <c r="D12" s="120"/>
      <c r="E12" s="139"/>
      <c r="F12" s="139"/>
      <c r="G12" s="139"/>
      <c r="H12" s="139"/>
      <c r="I12" s="139"/>
      <c r="J12" s="139"/>
      <c r="K12" s="139"/>
      <c r="L12" s="139"/>
      <c r="M12" s="1"/>
    </row>
    <row r="13" spans="2:13" x14ac:dyDescent="0.25">
      <c r="B13" s="120"/>
      <c r="C13" s="120"/>
      <c r="D13" s="120"/>
      <c r="E13" s="139"/>
      <c r="F13" s="139"/>
      <c r="G13" s="139"/>
      <c r="H13" s="139"/>
      <c r="I13" s="139"/>
      <c r="J13" s="139"/>
      <c r="K13" s="139"/>
      <c r="L13" s="139"/>
      <c r="M13" s="1"/>
    </row>
    <row r="14" spans="2:13" ht="6" customHeight="1" x14ac:dyDescent="0.25"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1"/>
    </row>
    <row r="15" spans="2:13" ht="25.9" customHeight="1" x14ac:dyDescent="0.25">
      <c r="B15" s="143"/>
      <c r="C15" s="143"/>
      <c r="D15" s="143"/>
      <c r="E15" s="36"/>
      <c r="F15" s="179"/>
      <c r="G15" s="179"/>
      <c r="H15" s="179"/>
      <c r="I15" s="179"/>
      <c r="J15" s="179"/>
      <c r="K15" s="179"/>
      <c r="L15" s="179"/>
      <c r="M15" s="1"/>
    </row>
    <row r="16" spans="2:13" ht="4.1500000000000004" customHeight="1" x14ac:dyDescent="0.25">
      <c r="B16" s="143"/>
      <c r="C16" s="143"/>
      <c r="D16" s="143"/>
      <c r="E16" s="135"/>
      <c r="F16" s="135"/>
      <c r="G16" s="135"/>
      <c r="H16" s="135"/>
      <c r="I16" s="135"/>
      <c r="J16" s="135"/>
      <c r="K16" s="135"/>
      <c r="L16" s="135"/>
      <c r="M16" s="1"/>
    </row>
    <row r="17" spans="2:13" ht="25.9" customHeight="1" x14ac:dyDescent="0.25">
      <c r="B17" s="143"/>
      <c r="C17" s="143"/>
      <c r="D17" s="143"/>
      <c r="E17" s="36"/>
      <c r="F17" s="36"/>
      <c r="G17" s="36"/>
      <c r="H17" s="36"/>
      <c r="I17" s="37"/>
      <c r="J17" s="36"/>
      <c r="K17" s="37"/>
      <c r="L17" s="36"/>
      <c r="M17" s="1"/>
    </row>
    <row r="18" spans="2:13" ht="4.1500000000000004" customHeight="1" x14ac:dyDescent="0.25">
      <c r="B18" s="143"/>
      <c r="C18" s="143"/>
      <c r="D18" s="143"/>
      <c r="E18" s="135"/>
      <c r="F18" s="135"/>
      <c r="G18" s="135"/>
      <c r="H18" s="135"/>
      <c r="I18" s="135"/>
      <c r="J18" s="135"/>
      <c r="K18" s="135"/>
      <c r="L18" s="135"/>
      <c r="M18" s="1"/>
    </row>
    <row r="19" spans="2:13" ht="25.9" customHeight="1" x14ac:dyDescent="0.25">
      <c r="B19" s="143"/>
      <c r="C19" s="143"/>
      <c r="D19" s="143"/>
      <c r="E19" s="36"/>
      <c r="F19" s="36"/>
      <c r="G19" s="36"/>
      <c r="H19" s="36"/>
      <c r="I19" s="135"/>
      <c r="J19" s="135"/>
      <c r="K19" s="135"/>
      <c r="L19" s="36"/>
      <c r="M19" s="1"/>
    </row>
    <row r="20" spans="2:13" ht="4.1500000000000004" customHeight="1" x14ac:dyDescent="0.25">
      <c r="B20" s="143"/>
      <c r="C20" s="143"/>
      <c r="D20" s="143"/>
      <c r="E20" s="135"/>
      <c r="F20" s="135"/>
      <c r="G20" s="135"/>
      <c r="H20" s="135"/>
      <c r="I20" s="135"/>
      <c r="J20" s="135"/>
      <c r="K20" s="135"/>
      <c r="L20" s="135"/>
      <c r="M20" s="1"/>
    </row>
    <row r="21" spans="2:13" ht="25.9" customHeight="1" x14ac:dyDescent="0.25">
      <c r="B21" s="143"/>
      <c r="C21" s="143"/>
      <c r="D21" s="143"/>
      <c r="E21" s="36"/>
      <c r="F21" s="36"/>
      <c r="G21" s="36"/>
      <c r="H21" s="36"/>
      <c r="I21" s="135"/>
      <c r="J21" s="135"/>
      <c r="K21" s="135"/>
      <c r="L21" s="36"/>
      <c r="M21" s="1"/>
    </row>
    <row r="22" spans="2:13" ht="4.1500000000000004" customHeight="1" x14ac:dyDescent="0.25">
      <c r="B22" s="143"/>
      <c r="C22" s="143"/>
      <c r="D22" s="143"/>
      <c r="E22" s="135"/>
      <c r="F22" s="135"/>
      <c r="G22" s="135"/>
      <c r="H22" s="135"/>
      <c r="I22" s="135"/>
      <c r="J22" s="135"/>
      <c r="K22" s="135"/>
      <c r="L22" s="135"/>
      <c r="M22" s="1"/>
    </row>
    <row r="23" spans="2:13" ht="25.9" customHeight="1" x14ac:dyDescent="0.25">
      <c r="B23" s="143"/>
      <c r="C23" s="143"/>
      <c r="D23" s="143"/>
      <c r="E23" s="36"/>
      <c r="F23" s="139"/>
      <c r="G23" s="139"/>
      <c r="H23" s="139"/>
      <c r="I23" s="135"/>
      <c r="J23" s="135"/>
      <c r="K23" s="135"/>
      <c r="L23" s="36"/>
      <c r="M23" s="1"/>
    </row>
    <row r="24" spans="2:13" ht="4.1500000000000004" customHeight="1" x14ac:dyDescent="0.25">
      <c r="B24" s="143"/>
      <c r="C24" s="143"/>
      <c r="D24" s="143"/>
      <c r="E24" s="135"/>
      <c r="F24" s="135"/>
      <c r="G24" s="135"/>
      <c r="H24" s="135"/>
      <c r="I24" s="135"/>
      <c r="J24" s="135"/>
      <c r="K24" s="135"/>
      <c r="L24" s="135"/>
      <c r="M24" s="1"/>
    </row>
    <row r="25" spans="2:13" ht="25.9" customHeight="1" x14ac:dyDescent="0.25">
      <c r="B25" s="143"/>
      <c r="C25" s="143"/>
      <c r="D25" s="143"/>
      <c r="E25" s="36"/>
      <c r="F25" s="179"/>
      <c r="G25" s="179"/>
      <c r="H25" s="179"/>
      <c r="I25" s="179"/>
      <c r="J25" s="179"/>
      <c r="K25" s="179"/>
      <c r="L25" s="179"/>
      <c r="M25" s="1"/>
    </row>
    <row r="26" spans="2:13" ht="10.9" customHeight="1" x14ac:dyDescent="0.25">
      <c r="B26" s="33"/>
      <c r="C26" s="33"/>
      <c r="D26" s="33"/>
      <c r="E26" s="135"/>
      <c r="F26" s="135"/>
      <c r="G26" s="135"/>
      <c r="H26" s="135"/>
      <c r="I26" s="135"/>
      <c r="J26" s="135"/>
      <c r="K26" s="135"/>
      <c r="L26" s="135"/>
      <c r="M26" s="1"/>
    </row>
    <row r="27" spans="2:13" x14ac:dyDescent="0.25">
      <c r="B27" s="143"/>
      <c r="C27" s="143"/>
      <c r="D27" s="143"/>
      <c r="E27" s="60"/>
      <c r="F27" s="28"/>
      <c r="G27" s="28"/>
      <c r="H27" s="28"/>
      <c r="I27" s="28"/>
      <c r="J27" s="28"/>
      <c r="K27" s="28"/>
      <c r="L27" s="28"/>
      <c r="M27" s="1"/>
    </row>
    <row r="28" spans="2:13" ht="57" customHeight="1" x14ac:dyDescent="0.25">
      <c r="B28" s="143"/>
      <c r="C28" s="143"/>
      <c r="D28" s="143"/>
      <c r="E28" s="139"/>
      <c r="F28" s="139"/>
      <c r="G28" s="139"/>
      <c r="H28" s="139"/>
      <c r="I28" s="139"/>
      <c r="J28" s="139"/>
      <c r="K28" s="139"/>
      <c r="L28" s="139"/>
      <c r="M28" s="1"/>
    </row>
    <row r="29" spans="2:13" x14ac:dyDescent="0.25">
      <c r="B29" s="143"/>
      <c r="C29" s="143"/>
      <c r="D29" s="143"/>
      <c r="E29" s="139"/>
      <c r="F29" s="139"/>
      <c r="G29" s="139"/>
      <c r="H29" s="139"/>
      <c r="I29" s="139"/>
      <c r="J29" s="139"/>
      <c r="K29" s="139"/>
      <c r="L29" s="139"/>
      <c r="M29" s="1"/>
    </row>
    <row r="30" spans="2:13" x14ac:dyDescent="0.25">
      <c r="B30" s="143"/>
      <c r="C30" s="143"/>
      <c r="D30" s="143"/>
      <c r="E30" s="139"/>
      <c r="F30" s="139"/>
      <c r="G30" s="139"/>
      <c r="H30" s="139"/>
      <c r="I30" s="139"/>
      <c r="J30" s="139"/>
      <c r="K30" s="139"/>
      <c r="L30" s="139"/>
      <c r="M30" s="1"/>
    </row>
    <row r="31" spans="2:13" x14ac:dyDescent="0.25">
      <c r="B31" s="143"/>
      <c r="C31" s="143"/>
      <c r="D31" s="143"/>
      <c r="E31" s="139"/>
      <c r="F31" s="139"/>
      <c r="G31" s="139"/>
      <c r="H31" s="139"/>
      <c r="I31" s="139"/>
      <c r="J31" s="139"/>
      <c r="K31" s="139"/>
      <c r="L31" s="139"/>
      <c r="M31" s="1"/>
    </row>
    <row r="32" spans="2:13" x14ac:dyDescent="0.25">
      <c r="B32" s="143"/>
      <c r="C32" s="143"/>
      <c r="D32" s="143"/>
      <c r="E32" s="60"/>
      <c r="F32" s="28"/>
      <c r="G32" s="28"/>
      <c r="H32" s="28"/>
      <c r="I32" s="28"/>
      <c r="J32" s="28"/>
      <c r="K32" s="28"/>
      <c r="L32" s="28"/>
      <c r="M32" s="1"/>
    </row>
    <row r="33" spans="2:13" x14ac:dyDescent="0.25">
      <c r="B33" s="143"/>
      <c r="C33" s="143"/>
      <c r="D33" s="143"/>
      <c r="E33" s="28"/>
      <c r="F33" s="28"/>
      <c r="G33" s="28"/>
      <c r="H33" s="28"/>
      <c r="I33" s="28"/>
      <c r="J33" s="28"/>
      <c r="K33" s="28"/>
      <c r="L33" s="28"/>
      <c r="M33" s="1"/>
    </row>
    <row r="34" spans="2:13" x14ac:dyDescent="0.25">
      <c r="B34" s="143"/>
      <c r="C34" s="143"/>
      <c r="D34" s="143"/>
      <c r="E34" s="28"/>
      <c r="F34" s="28"/>
      <c r="G34" s="28"/>
      <c r="H34" s="28"/>
      <c r="I34" s="28"/>
      <c r="J34" s="28"/>
      <c r="K34" s="28"/>
      <c r="L34" s="28"/>
      <c r="M34" s="1"/>
    </row>
    <row r="35" spans="2:13" x14ac:dyDescent="0.25">
      <c r="B35" s="143"/>
      <c r="C35" s="143"/>
      <c r="D35" s="143"/>
      <c r="E35" s="28"/>
      <c r="F35" s="28"/>
      <c r="G35" s="28"/>
      <c r="H35" s="28"/>
      <c r="I35" s="28"/>
      <c r="J35" s="28"/>
      <c r="K35" s="28"/>
      <c r="L35" s="28"/>
      <c r="M35" s="1"/>
    </row>
    <row r="36" spans="2:13" x14ac:dyDescent="0.25">
      <c r="B36" s="143"/>
      <c r="C36" s="143"/>
      <c r="D36" s="143"/>
      <c r="E36" s="28"/>
      <c r="F36" s="28"/>
      <c r="G36" s="28"/>
      <c r="H36" s="28"/>
      <c r="I36" s="28"/>
      <c r="J36" s="28"/>
      <c r="K36" s="28"/>
      <c r="L36" s="28"/>
      <c r="M36" s="1"/>
    </row>
    <row r="37" spans="2:13" ht="16.899999999999999" customHeight="1" x14ac:dyDescent="0.25"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1"/>
    </row>
    <row r="38" spans="2:13" x14ac:dyDescent="0.25">
      <c r="B38" s="180"/>
      <c r="C38" s="180"/>
      <c r="D38" s="181"/>
      <c r="E38" s="181"/>
      <c r="F38" s="181"/>
      <c r="G38" s="181"/>
      <c r="H38" s="181"/>
      <c r="I38" s="181"/>
      <c r="J38" s="181"/>
      <c r="K38" s="181"/>
      <c r="L38" s="181"/>
      <c r="M38" s="1"/>
    </row>
    <row r="39" spans="2:13" x14ac:dyDescent="0.25">
      <c r="B39" s="180"/>
      <c r="C39" s="180"/>
      <c r="D39" s="181"/>
      <c r="E39" s="181"/>
      <c r="F39" s="181"/>
      <c r="G39" s="181"/>
      <c r="H39" s="181"/>
      <c r="I39" s="181"/>
      <c r="J39" s="181"/>
      <c r="K39" s="181"/>
      <c r="L39" s="181"/>
      <c r="M39" s="1"/>
    </row>
    <row r="40" spans="2:13" ht="25.9" customHeight="1" x14ac:dyDescent="0.25">
      <c r="B40" s="61"/>
      <c r="C40" s="62"/>
      <c r="D40" s="62"/>
      <c r="E40" s="62"/>
      <c r="F40" s="62"/>
      <c r="G40" s="62"/>
      <c r="H40" s="62"/>
      <c r="I40" s="62"/>
      <c r="J40" s="62"/>
      <c r="K40" s="62"/>
      <c r="L40" s="62"/>
    </row>
    <row r="41" spans="2:13" ht="25.15" customHeight="1" x14ac:dyDescent="0.25">
      <c r="B41" s="71"/>
      <c r="C41" s="63"/>
      <c r="D41" s="71"/>
      <c r="E41" s="71"/>
      <c r="F41" s="71"/>
      <c r="G41" s="71"/>
      <c r="H41" s="182"/>
      <c r="I41" s="182"/>
      <c r="J41" s="182"/>
      <c r="K41" s="182"/>
      <c r="L41" s="182"/>
    </row>
    <row r="42" spans="2:13" ht="25.15" customHeight="1" x14ac:dyDescent="0.25">
      <c r="B42" s="71"/>
      <c r="C42" s="63"/>
      <c r="D42" s="71"/>
      <c r="E42" s="71"/>
      <c r="F42" s="71"/>
      <c r="G42" s="71"/>
      <c r="H42" s="182"/>
      <c r="I42" s="182"/>
      <c r="J42" s="182"/>
      <c r="K42" s="182"/>
      <c r="L42" s="182"/>
    </row>
    <row r="43" spans="2:13" ht="25.15" customHeight="1" x14ac:dyDescent="0.25">
      <c r="B43" s="64"/>
      <c r="C43" s="183"/>
      <c r="D43" s="183"/>
      <c r="E43" s="65"/>
      <c r="F43" s="72"/>
      <c r="G43" s="72"/>
      <c r="H43" s="184"/>
      <c r="I43" s="184"/>
      <c r="J43" s="185"/>
      <c r="K43" s="183"/>
      <c r="L43" s="183"/>
    </row>
    <row r="44" spans="2:13" ht="25.15" customHeight="1" x14ac:dyDescent="0.25">
      <c r="B44" s="64"/>
      <c r="C44" s="183"/>
      <c r="D44" s="183"/>
      <c r="E44" s="66"/>
      <c r="F44" s="72"/>
      <c r="G44" s="72"/>
      <c r="H44" s="184"/>
      <c r="I44" s="184"/>
      <c r="J44" s="185"/>
      <c r="K44" s="183"/>
      <c r="L44" s="183"/>
    </row>
    <row r="45" spans="2:13" ht="25.15" customHeight="1" x14ac:dyDescent="0.25">
      <c r="B45" s="64"/>
      <c r="C45" s="183"/>
      <c r="D45" s="183"/>
      <c r="E45" s="66"/>
      <c r="F45" s="72"/>
      <c r="G45" s="72"/>
      <c r="H45" s="184"/>
      <c r="I45" s="184"/>
      <c r="J45" s="185"/>
      <c r="K45" s="183"/>
      <c r="L45" s="183"/>
    </row>
    <row r="46" spans="2:13" ht="25.15" customHeight="1" x14ac:dyDescent="0.25">
      <c r="B46" s="64"/>
      <c r="C46" s="183"/>
      <c r="D46" s="183"/>
      <c r="E46" s="67"/>
      <c r="F46" s="72"/>
      <c r="G46" s="72"/>
      <c r="H46" s="185"/>
      <c r="I46" s="183"/>
      <c r="J46" s="185"/>
      <c r="K46" s="183"/>
      <c r="L46" s="183"/>
    </row>
    <row r="47" spans="2:13" ht="25.15" customHeight="1" x14ac:dyDescent="0.25">
      <c r="B47" s="64"/>
      <c r="C47" s="183"/>
      <c r="D47" s="183"/>
      <c r="E47" s="66"/>
      <c r="F47" s="72"/>
      <c r="G47" s="72"/>
      <c r="H47" s="185"/>
      <c r="I47" s="183"/>
      <c r="J47" s="185"/>
      <c r="K47" s="183"/>
      <c r="L47" s="183"/>
    </row>
    <row r="48" spans="2:13" ht="25.15" customHeight="1" x14ac:dyDescent="0.25">
      <c r="B48" s="186"/>
      <c r="C48" s="186"/>
      <c r="D48" s="186"/>
      <c r="E48" s="186"/>
      <c r="F48" s="186"/>
      <c r="G48" s="186"/>
      <c r="H48" s="186"/>
      <c r="I48" s="186"/>
      <c r="J48" s="187"/>
      <c r="K48" s="187"/>
      <c r="L48" s="187"/>
    </row>
    <row r="49" spans="2:12" ht="25.15" customHeight="1" x14ac:dyDescent="0.25">
      <c r="B49" s="71"/>
      <c r="C49" s="63"/>
      <c r="D49" s="71"/>
      <c r="E49" s="71"/>
      <c r="F49" s="71"/>
      <c r="G49" s="71"/>
      <c r="H49" s="182"/>
      <c r="I49" s="182"/>
      <c r="J49" s="182"/>
      <c r="K49" s="182"/>
      <c r="L49" s="182"/>
    </row>
    <row r="50" spans="2:12" ht="25.15" customHeight="1" x14ac:dyDescent="0.25">
      <c r="B50" s="71"/>
      <c r="C50" s="63"/>
      <c r="D50" s="71"/>
      <c r="E50" s="71"/>
      <c r="F50" s="71"/>
      <c r="G50" s="71"/>
      <c r="H50" s="182"/>
      <c r="I50" s="182"/>
      <c r="J50" s="182"/>
      <c r="K50" s="182"/>
      <c r="L50" s="182"/>
    </row>
    <row r="51" spans="2:12" ht="25.15" customHeight="1" x14ac:dyDescent="0.25">
      <c r="B51" s="64"/>
      <c r="C51" s="183"/>
      <c r="D51" s="183"/>
      <c r="E51" s="66"/>
      <c r="F51" s="72"/>
      <c r="G51" s="72"/>
      <c r="H51" s="185"/>
      <c r="I51" s="183"/>
      <c r="J51" s="185"/>
      <c r="K51" s="183"/>
      <c r="L51" s="183"/>
    </row>
    <row r="52" spans="2:12" ht="25.15" customHeight="1" x14ac:dyDescent="0.25">
      <c r="B52" s="64"/>
      <c r="C52" s="183"/>
      <c r="D52" s="183"/>
      <c r="E52" s="66"/>
      <c r="F52" s="72"/>
      <c r="G52" s="72"/>
      <c r="H52" s="185"/>
      <c r="I52" s="183"/>
      <c r="J52" s="185"/>
      <c r="K52" s="183"/>
      <c r="L52" s="183"/>
    </row>
    <row r="53" spans="2:12" ht="25.15" customHeight="1" x14ac:dyDescent="0.25">
      <c r="B53" s="64"/>
      <c r="C53" s="183"/>
      <c r="D53" s="183"/>
      <c r="E53" s="66"/>
      <c r="F53" s="72"/>
      <c r="G53" s="72"/>
      <c r="H53" s="185"/>
      <c r="I53" s="183"/>
      <c r="J53" s="185"/>
      <c r="K53" s="183"/>
      <c r="L53" s="183"/>
    </row>
    <row r="54" spans="2:12" ht="25.15" customHeight="1" x14ac:dyDescent="0.25">
      <c r="B54" s="64"/>
      <c r="C54" s="183"/>
      <c r="D54" s="183"/>
      <c r="E54" s="66"/>
      <c r="F54" s="72"/>
      <c r="G54" s="72"/>
      <c r="H54" s="185"/>
      <c r="I54" s="183"/>
      <c r="J54" s="185"/>
      <c r="K54" s="183"/>
      <c r="L54" s="183"/>
    </row>
    <row r="55" spans="2:12" ht="25.15" customHeight="1" x14ac:dyDescent="0.25">
      <c r="B55" s="64"/>
      <c r="C55" s="183"/>
      <c r="D55" s="183"/>
      <c r="E55" s="66"/>
      <c r="F55" s="72"/>
      <c r="G55" s="72"/>
      <c r="H55" s="185"/>
      <c r="I55" s="183"/>
      <c r="J55" s="185"/>
      <c r="K55" s="183"/>
      <c r="L55" s="183"/>
    </row>
    <row r="56" spans="2:12" ht="25.15" customHeight="1" x14ac:dyDescent="0.25">
      <c r="B56" s="186"/>
      <c r="C56" s="186"/>
      <c r="D56" s="186"/>
      <c r="E56" s="186"/>
      <c r="F56" s="186"/>
      <c r="G56" s="186"/>
      <c r="H56" s="186"/>
      <c r="I56" s="186"/>
      <c r="J56" s="187"/>
      <c r="K56" s="187"/>
      <c r="L56" s="187"/>
    </row>
    <row r="57" spans="2:12" ht="25.15" customHeight="1" x14ac:dyDescent="0.25">
      <c r="B57" s="186"/>
      <c r="C57" s="186"/>
      <c r="D57" s="186"/>
      <c r="E57" s="186"/>
      <c r="F57" s="186"/>
      <c r="G57" s="186"/>
      <c r="H57" s="186"/>
      <c r="I57" s="186"/>
      <c r="J57" s="187"/>
      <c r="K57" s="187"/>
      <c r="L57" s="187"/>
    </row>
    <row r="58" spans="2:12" ht="18.600000000000001" customHeight="1" x14ac:dyDescent="0.25">
      <c r="B58" s="62"/>
      <c r="C58" s="62"/>
      <c r="D58" s="62"/>
      <c r="E58" s="62"/>
      <c r="F58" s="62"/>
      <c r="G58" s="62"/>
      <c r="H58" s="190"/>
      <c r="I58" s="190"/>
      <c r="J58" s="185"/>
      <c r="K58" s="183"/>
      <c r="L58" s="183"/>
    </row>
    <row r="59" spans="2:12" ht="21" customHeight="1" x14ac:dyDescent="0.25">
      <c r="B59" s="191"/>
      <c r="C59" s="191"/>
      <c r="D59" s="191"/>
      <c r="E59" s="191"/>
      <c r="F59" s="191"/>
      <c r="G59" s="191"/>
      <c r="H59" s="191"/>
      <c r="I59" s="191"/>
      <c r="J59" s="191"/>
      <c r="K59" s="191"/>
      <c r="L59" s="191"/>
    </row>
    <row r="60" spans="2:12" ht="8.25" customHeight="1" x14ac:dyDescent="0.25"/>
    <row r="61" spans="2:12" s="1" customFormat="1" ht="14.45" customHeight="1" x14ac:dyDescent="0.25">
      <c r="B61"/>
      <c r="C61"/>
      <c r="D61"/>
      <c r="E61"/>
      <c r="F61" s="188"/>
      <c r="G61" s="189"/>
      <c r="H61" s="189"/>
      <c r="I61"/>
      <c r="J61"/>
      <c r="K61"/>
      <c r="L61"/>
    </row>
    <row r="62" spans="2:12" x14ac:dyDescent="0.25">
      <c r="F62" s="189"/>
      <c r="G62" s="189"/>
      <c r="H62" s="189"/>
    </row>
    <row r="63" spans="2:12" ht="15" customHeight="1" x14ac:dyDescent="0.25">
      <c r="F63" s="188"/>
      <c r="G63" s="189"/>
      <c r="H63" s="189"/>
    </row>
    <row r="64" spans="2:12" x14ac:dyDescent="0.25">
      <c r="F64" s="189"/>
      <c r="G64" s="189"/>
      <c r="H64" s="189"/>
    </row>
    <row r="65" spans="2:12" x14ac:dyDescent="0.25">
      <c r="F65" s="1"/>
      <c r="G65" s="1"/>
      <c r="H65" s="1"/>
    </row>
    <row r="66" spans="2:12" x14ac:dyDescent="0.25">
      <c r="F66" s="1"/>
      <c r="G66" s="1"/>
      <c r="H66" s="1"/>
    </row>
    <row r="67" spans="2:12" x14ac:dyDescent="0.25">
      <c r="F67" s="1"/>
      <c r="G67" s="1"/>
      <c r="H67" s="1"/>
    </row>
    <row r="70" spans="2:12" ht="21" customHeight="1" x14ac:dyDescent="0.25">
      <c r="B70" s="191"/>
      <c r="C70" s="191"/>
      <c r="D70" s="191"/>
      <c r="E70" s="191"/>
      <c r="F70" s="191"/>
      <c r="G70" s="191"/>
      <c r="H70" s="191"/>
      <c r="I70" s="191"/>
      <c r="J70" s="191"/>
      <c r="K70" s="191"/>
      <c r="L70" s="191"/>
    </row>
    <row r="71" spans="2:12" ht="19.899999999999999" customHeight="1" x14ac:dyDescent="0.25">
      <c r="B71" s="192"/>
      <c r="C71" s="192"/>
      <c r="D71" s="192"/>
      <c r="E71" s="192"/>
      <c r="F71" s="193"/>
      <c r="G71" s="193"/>
      <c r="H71" s="193"/>
      <c r="I71" s="194"/>
      <c r="J71" s="194"/>
      <c r="K71" s="194"/>
      <c r="L71" s="194"/>
    </row>
    <row r="72" spans="2:12" ht="19.899999999999999" customHeight="1" x14ac:dyDescent="0.25">
      <c r="B72" s="192"/>
      <c r="C72" s="192"/>
      <c r="D72" s="192"/>
      <c r="E72" s="192"/>
      <c r="F72" s="193"/>
      <c r="G72" s="193"/>
      <c r="H72" s="193"/>
      <c r="I72" s="194"/>
      <c r="J72" s="194"/>
      <c r="K72" s="194"/>
      <c r="L72" s="194"/>
    </row>
    <row r="73" spans="2:12" ht="19.899999999999999" customHeight="1" x14ac:dyDescent="0.25">
      <c r="B73" s="192"/>
      <c r="C73" s="192"/>
      <c r="D73" s="192"/>
      <c r="E73" s="192"/>
      <c r="F73" s="193"/>
      <c r="G73" s="193"/>
      <c r="H73" s="193"/>
    </row>
    <row r="74" spans="2:12" ht="14.45" customHeight="1" x14ac:dyDescent="0.25">
      <c r="I74" s="197"/>
      <c r="J74" s="197"/>
      <c r="K74" s="197"/>
      <c r="L74" s="197"/>
    </row>
    <row r="75" spans="2:12" ht="14.65" customHeight="1" x14ac:dyDescent="0.25">
      <c r="F75" s="68"/>
      <c r="G75" s="68"/>
      <c r="H75" s="68"/>
      <c r="I75" s="197"/>
      <c r="J75" s="197"/>
      <c r="K75" s="197"/>
      <c r="L75" s="197"/>
    </row>
    <row r="76" spans="2:12" x14ac:dyDescent="0.25">
      <c r="F76" s="68"/>
      <c r="G76" s="68"/>
      <c r="H76" s="68"/>
    </row>
    <row r="81" spans="2:12" ht="21" customHeight="1" x14ac:dyDescent="0.25">
      <c r="B81" s="191"/>
      <c r="C81" s="191"/>
      <c r="D81" s="191"/>
      <c r="E81" s="191"/>
      <c r="F81" s="191"/>
      <c r="G81" s="191"/>
      <c r="H81" s="191"/>
      <c r="I81" s="69"/>
      <c r="J81" s="69"/>
      <c r="K81" s="69"/>
      <c r="L81" s="69"/>
    </row>
    <row r="82" spans="2:12" ht="14.65" customHeight="1" x14ac:dyDescent="0.25">
      <c r="B82" s="70"/>
      <c r="C82" s="70"/>
      <c r="D82" s="70"/>
    </row>
    <row r="83" spans="2:12" ht="14.65" customHeight="1" x14ac:dyDescent="0.25">
      <c r="C83" s="195"/>
      <c r="D83" s="195"/>
      <c r="E83" s="195"/>
      <c r="F83" s="68"/>
      <c r="G83" s="68"/>
      <c r="H83" s="68"/>
    </row>
    <row r="84" spans="2:12" x14ac:dyDescent="0.25">
      <c r="C84" s="195"/>
      <c r="D84" s="195"/>
      <c r="E84" s="195"/>
      <c r="F84" s="68"/>
      <c r="G84" s="68"/>
      <c r="H84" s="68"/>
    </row>
    <row r="86" spans="2:12" ht="14.65" customHeight="1" x14ac:dyDescent="0.25">
      <c r="C86" s="195"/>
      <c r="D86" s="195"/>
      <c r="E86" s="195"/>
      <c r="F86" s="68"/>
      <c r="G86" s="68"/>
      <c r="H86" s="68"/>
    </row>
    <row r="87" spans="2:12" x14ac:dyDescent="0.25">
      <c r="C87" s="195"/>
      <c r="D87" s="195"/>
      <c r="E87" s="195"/>
      <c r="F87" s="68"/>
      <c r="G87" s="68"/>
      <c r="H87" s="68"/>
    </row>
    <row r="91" spans="2:12" ht="21" customHeight="1" x14ac:dyDescent="0.25">
      <c r="B91" s="191"/>
      <c r="C91" s="191"/>
      <c r="D91" s="191"/>
      <c r="E91" s="191"/>
      <c r="F91" s="191"/>
      <c r="G91" s="191"/>
      <c r="H91" s="191"/>
      <c r="I91" s="191"/>
      <c r="J91" s="191"/>
      <c r="K91" s="191"/>
      <c r="L91" s="191"/>
    </row>
    <row r="92" spans="2:12" ht="14.65" customHeight="1" x14ac:dyDescent="0.25">
      <c r="B92" s="70"/>
      <c r="C92" s="70"/>
      <c r="D92" s="70"/>
    </row>
    <row r="93" spans="2:12" ht="14.65" customHeight="1" x14ac:dyDescent="0.25">
      <c r="C93" s="195"/>
      <c r="D93" s="195"/>
      <c r="E93" s="195"/>
      <c r="F93" s="68"/>
      <c r="G93" s="68"/>
      <c r="H93" s="68"/>
    </row>
    <row r="94" spans="2:12" x14ac:dyDescent="0.25">
      <c r="C94" s="195"/>
      <c r="D94" s="195"/>
      <c r="E94" s="195"/>
      <c r="F94" s="68"/>
      <c r="G94" s="68"/>
      <c r="H94" s="68"/>
    </row>
    <row r="96" spans="2:12" ht="14.65" customHeight="1" x14ac:dyDescent="0.25">
      <c r="C96" s="195"/>
      <c r="D96" s="195"/>
      <c r="E96" s="195"/>
      <c r="F96" s="68"/>
      <c r="G96" s="68"/>
      <c r="H96" s="68"/>
    </row>
    <row r="97" spans="3:11" x14ac:dyDescent="0.25">
      <c r="C97" s="195"/>
      <c r="D97" s="195"/>
      <c r="E97" s="195"/>
      <c r="F97" s="68"/>
      <c r="G97" s="68"/>
      <c r="H97" s="68"/>
    </row>
    <row r="102" spans="3:11" ht="16.149999999999999" customHeight="1" x14ac:dyDescent="0.25">
      <c r="C102" s="196"/>
      <c r="D102" s="196"/>
      <c r="E102" s="196"/>
      <c r="F102" s="196"/>
      <c r="G102" s="196"/>
      <c r="H102" s="196"/>
      <c r="I102" s="196"/>
      <c r="J102" s="196"/>
      <c r="K102" s="196"/>
    </row>
    <row r="103" spans="3:11" ht="16.149999999999999" customHeight="1" x14ac:dyDescent="0.25">
      <c r="C103" s="196"/>
      <c r="D103" s="196"/>
      <c r="E103" s="196"/>
      <c r="F103" s="196"/>
      <c r="G103" s="196"/>
      <c r="H103" s="196"/>
      <c r="I103" s="196"/>
      <c r="J103" s="196"/>
      <c r="K103" s="196"/>
    </row>
    <row r="104" spans="3:11" ht="16.149999999999999" customHeight="1" x14ac:dyDescent="0.25">
      <c r="C104" s="196"/>
      <c r="D104" s="196"/>
      <c r="E104" s="196"/>
      <c r="F104" s="196"/>
      <c r="G104" s="196"/>
      <c r="H104" s="196"/>
      <c r="I104" s="196"/>
      <c r="J104" s="196"/>
      <c r="K104" s="196"/>
    </row>
    <row r="105" spans="3:11" ht="16.149999999999999" customHeight="1" x14ac:dyDescent="0.25">
      <c r="C105" s="196"/>
      <c r="D105" s="196"/>
      <c r="E105" s="196"/>
      <c r="F105" s="196"/>
      <c r="G105" s="196"/>
      <c r="H105" s="196"/>
      <c r="I105" s="196"/>
      <c r="J105" s="196"/>
      <c r="K105" s="196"/>
    </row>
  </sheetData>
  <mergeCells count="99">
    <mergeCell ref="C93:E94"/>
    <mergeCell ref="C96:E97"/>
    <mergeCell ref="C102:K105"/>
    <mergeCell ref="I74:L75"/>
    <mergeCell ref="B81:E81"/>
    <mergeCell ref="F81:H81"/>
    <mergeCell ref="C83:E84"/>
    <mergeCell ref="C86:E87"/>
    <mergeCell ref="B91:E91"/>
    <mergeCell ref="F91:H91"/>
    <mergeCell ref="I91:L91"/>
    <mergeCell ref="F63:H64"/>
    <mergeCell ref="B70:E70"/>
    <mergeCell ref="F70:H70"/>
    <mergeCell ref="I70:L70"/>
    <mergeCell ref="B71:E73"/>
    <mergeCell ref="F71:H73"/>
    <mergeCell ref="I71:L72"/>
    <mergeCell ref="F61:H62"/>
    <mergeCell ref="C55:D55"/>
    <mergeCell ref="H55:I55"/>
    <mergeCell ref="J55:L55"/>
    <mergeCell ref="B56:I56"/>
    <mergeCell ref="J56:L56"/>
    <mergeCell ref="B57:I57"/>
    <mergeCell ref="J57:L57"/>
    <mergeCell ref="H58:I58"/>
    <mergeCell ref="J58:L58"/>
    <mergeCell ref="B59:E59"/>
    <mergeCell ref="F59:H59"/>
    <mergeCell ref="I59:L59"/>
    <mergeCell ref="C53:D53"/>
    <mergeCell ref="H53:I53"/>
    <mergeCell ref="J53:L53"/>
    <mergeCell ref="C54:D54"/>
    <mergeCell ref="H54:I54"/>
    <mergeCell ref="J54:L54"/>
    <mergeCell ref="C51:D51"/>
    <mergeCell ref="H51:I51"/>
    <mergeCell ref="J51:L51"/>
    <mergeCell ref="C52:D52"/>
    <mergeCell ref="H52:I52"/>
    <mergeCell ref="J52:L52"/>
    <mergeCell ref="B48:I48"/>
    <mergeCell ref="J48:L48"/>
    <mergeCell ref="H49:I49"/>
    <mergeCell ref="J49:L49"/>
    <mergeCell ref="H50:I50"/>
    <mergeCell ref="J50:L50"/>
    <mergeCell ref="C46:D46"/>
    <mergeCell ref="H46:I46"/>
    <mergeCell ref="J46:L46"/>
    <mergeCell ref="C47:D47"/>
    <mergeCell ref="H47:I47"/>
    <mergeCell ref="J47:L47"/>
    <mergeCell ref="C44:D44"/>
    <mergeCell ref="H44:I44"/>
    <mergeCell ref="J44:L44"/>
    <mergeCell ref="C45:D45"/>
    <mergeCell ref="H45:I45"/>
    <mergeCell ref="J45:L45"/>
    <mergeCell ref="H41:I41"/>
    <mergeCell ref="J41:L41"/>
    <mergeCell ref="H42:I42"/>
    <mergeCell ref="J42:L42"/>
    <mergeCell ref="C43:D43"/>
    <mergeCell ref="H43:I43"/>
    <mergeCell ref="J43:L43"/>
    <mergeCell ref="F25:L25"/>
    <mergeCell ref="E26:L26"/>
    <mergeCell ref="B27:D36"/>
    <mergeCell ref="E28:L31"/>
    <mergeCell ref="B38:C39"/>
    <mergeCell ref="D38:E39"/>
    <mergeCell ref="F38:H39"/>
    <mergeCell ref="I38:L39"/>
    <mergeCell ref="E24:L24"/>
    <mergeCell ref="B9:C9"/>
    <mergeCell ref="D9:F9"/>
    <mergeCell ref="I9:L9"/>
    <mergeCell ref="B12:D13"/>
    <mergeCell ref="E12:L13"/>
    <mergeCell ref="B15:D25"/>
    <mergeCell ref="F15:L15"/>
    <mergeCell ref="E16:L16"/>
    <mergeCell ref="E18:L18"/>
    <mergeCell ref="I19:K19"/>
    <mergeCell ref="E20:L20"/>
    <mergeCell ref="I21:K21"/>
    <mergeCell ref="E22:L22"/>
    <mergeCell ref="F23:H23"/>
    <mergeCell ref="I23:K23"/>
    <mergeCell ref="B3:L3"/>
    <mergeCell ref="B5:C5"/>
    <mergeCell ref="D5:F5"/>
    <mergeCell ref="I5:L5"/>
    <mergeCell ref="B7:C7"/>
    <mergeCell ref="D7:F7"/>
    <mergeCell ref="I7:L7"/>
  </mergeCells>
  <printOptions horizontalCentered="1"/>
  <pageMargins left="0.34" right="0.24" top="0.55000000000000004" bottom="0.39370078740157483" header="0.31496062992125984" footer="0.31496062992125984"/>
  <pageSetup paperSize="9" scale="42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3</vt:i4>
      </vt:variant>
      <vt:variant>
        <vt:lpstr>Adlandırılmış Aralıklar</vt:lpstr>
      </vt:variant>
      <vt:variant>
        <vt:i4>2</vt:i4>
      </vt:variant>
    </vt:vector>
  </HeadingPairs>
  <TitlesOfParts>
    <vt:vector size="5" baseType="lpstr">
      <vt:lpstr>İşleyiş Prosedürü</vt:lpstr>
      <vt:lpstr>İLAVE İS TUT.</vt:lpstr>
      <vt:lpstr>İLAVE İS TUT. (2)</vt:lpstr>
      <vt:lpstr>'İLAVE İS TUT.'!Yazdırma_Alanı</vt:lpstr>
      <vt:lpstr>'İLAVE İS TUT. (2)'!Yazdırma_Alanı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taner.ezengin</dc:creator>
  <cp:lastModifiedBy>Asus</cp:lastModifiedBy>
  <cp:lastPrinted>2026-06-12T13:14:18Z</cp:lastPrinted>
  <dcterms:created xsi:type="dcterms:W3CDTF">2014-05-26T07:40:11Z</dcterms:created>
  <dcterms:modified xsi:type="dcterms:W3CDTF">2026-06-12T13:14:21Z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59f1712-2694-4f24-812c-3bb9bbb8b776_Enabled">
    <vt:lpwstr>true</vt:lpwstr>
  </property>
  <property fmtid="{D5CDD505-2E9C-101B-9397-08002B2CF9AE}" pid="3" name="MSIP_Label_d59f1712-2694-4f24-812c-3bb9bbb8b776_SetDate">
    <vt:lpwstr>2025-02-01T07:38:01Z</vt:lpwstr>
  </property>
  <property fmtid="{D5CDD505-2E9C-101B-9397-08002B2CF9AE}" pid="4" name="MSIP_Label_d59f1712-2694-4f24-812c-3bb9bbb8b776_Method">
    <vt:lpwstr>Privileged</vt:lpwstr>
  </property>
  <property fmtid="{D5CDD505-2E9C-101B-9397-08002B2CF9AE}" pid="5" name="MSIP_Label_d59f1712-2694-4f24-812c-3bb9bbb8b776_Name">
    <vt:lpwstr>Public</vt:lpwstr>
  </property>
  <property fmtid="{D5CDD505-2E9C-101B-9397-08002B2CF9AE}" pid="6" name="MSIP_Label_d59f1712-2694-4f24-812c-3bb9bbb8b776_SiteId">
    <vt:lpwstr>00f24f45-c952-4db5-a51b-400ab4a632f6</vt:lpwstr>
  </property>
  <property fmtid="{D5CDD505-2E9C-101B-9397-08002B2CF9AE}" pid="7" name="MSIP_Label_d59f1712-2694-4f24-812c-3bb9bbb8b776_ActionId">
    <vt:lpwstr>a7621ffb-2ceb-493c-9cfe-cf7fd3c8ed52</vt:lpwstr>
  </property>
  <property fmtid="{D5CDD505-2E9C-101B-9397-08002B2CF9AE}" pid="8" name="MSIP_Label_d59f1712-2694-4f24-812c-3bb9bbb8b776_ContentBits">
    <vt:lpwstr>0</vt:lpwstr>
  </property>
</Properties>
</file>