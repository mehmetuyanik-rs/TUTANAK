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B35BBE1-535C-4CEF-8CFA-B3CC56059B9C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<sst xmlns="http://schemas.openxmlformats.org/spreadsheetml/2006/main" count="108" uniqueCount="90">
  <si>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</si>
  <si>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</si>
  <si>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</si>
  <si>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</si>
  <si>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</si>
  <si>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</si>
  <si>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</si>
  <si>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</si>
  <si>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</si>
  <si>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</si>
  <si>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</si>
  <si>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</si>
  <si>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</si>
  <si>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</si>
  <si>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</si>
  <si>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</si>
  <si>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</si>
  <si>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</si>
  <si>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</si>
  <si>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</si>
  <si>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</si>
  <si>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</si>
  <si>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</si>
  <si>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</si>
  <si>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</si>
  <si>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</si>
  <si>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</si>
  <si>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</si>
  <si>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</si>
  <si>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</si>
  <si>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</si>
  <si>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</si>
  <si>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</si>
  <si>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</si>
  <si>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</si>
  <si>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</si>
  <si>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</si>
  <si>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</si>
  <si>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</si>
  <si>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</si>
  <si>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</si>
  <si>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</si>
  <si>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</si>
  <si>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</si>
  <si>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</si>
  <si>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</si>
  <si>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</si>
  <si>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</si>
  <si>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</si>
  <si>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</si>
  <si>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</si>
  <si>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</si>
  <si>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</si>
  <si>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</si>
  <si>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</si>
  <si>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</si>
  <si>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</si>
  <si>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</si>
  <si>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</si>
  <si>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</si>
  <si>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</si>
  <si>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</si>
  <si>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</si>
  <si>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</si>
  <si>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</si>
  <si>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</si>
  <si>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</si>
  <si>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</si>
  <si>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</si>
  <si>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</si>
  <si>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</si>
  <si>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</si>
  <si>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</si>
  <si>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</si>
  <si>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</si>
  <si>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</si>
  <si>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</si>
  <si>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</si>
  <si>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</si>
  <si>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</si>
  <si>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</si>
  <si>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</si>
  <si>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</si>
  <si>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</si>
  <si>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</si>
  <si>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278</t>
  </si>
  <si>
    <t>C3 / 20.20</t>
  </si>
  <si>
    <t>C3 Blok 20.20 kotunda, mekanik imalatları nedeniyle zarar gören alçıpan asma tavanlar düzeltilmiştir.</t>
  </si>
  <si>
    <t>MEHMET SİNAN MENCİK (USTA)</t>
  </si>
  <si>
    <t>MUSTAFA ÇALAĞAN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</si>
</sst>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500062</xdr:colOff>
      <xdr:row>12</xdr:row>
      <xdr:rowOff>95249</xdr:rowOff>
    </xdr:from>
    <xdr:to>
      <xdr:col>6</xdr:col>
      <xdr:colOff>635496</xdr:colOff>
      <xdr:row>55</xdr:row>
      <xdr:rowOff>190500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6E34773-3790-4268-9486-027DB04E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12" y="2976562"/>
          <a:ext cx="6040934" cy="10739438"/>
        </a:xfrm>
        <a:prstGeom prst="rect">
          <a:avLst/>
        </a:prstGeom>
      </xdr:spPr>
    </xdr:pic>
    <xdr:clientData/>
  </xdr:twoCellAnchor>
  <xdr:twoCellAnchor editAs="oneCell">
    <xdr:from>
      <xdr:col>2</xdr:col>
      <xdr:colOff>554813</xdr:colOff>
      <xdr:row>85</xdr:row>
      <xdr:rowOff>126188</xdr:rowOff>
    </xdr:from>
    <xdr:to>
      <xdr:col>7</xdr:col>
      <xdr:colOff>137108</xdr:colOff>
      <xdr:row>104</xdr:row>
      <xdr:rowOff>57917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52A2AE94-1CFC-4076-97BC-BB4B9C8F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563" y="19914376"/>
          <a:ext cx="6440295" cy="3622666"/>
        </a:xfrm>
        <a:prstGeom prst="rect">
          <a:avLst/>
        </a:prstGeom>
      </xdr:spPr>
    </xdr:pic>
    <xdr:clientData/>
  </xdr:twoCellAnchor>
  <xdr:twoCellAnchor editAs="oneCell">
    <xdr:from>
      <xdr:col>7</xdr:col>
      <xdr:colOff>538125</xdr:colOff>
      <xdr:row>62</xdr:row>
      <xdr:rowOff>109502</xdr:rowOff>
    </xdr:from>
    <xdr:to>
      <xdr:col>11</xdr:col>
      <xdr:colOff>572857</xdr:colOff>
      <xdr:row>80</xdr:row>
      <xdr:rowOff>88856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28B9A48-522A-42D5-B155-55B3E3BF1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875" y="15230440"/>
          <a:ext cx="6440295" cy="3622666"/>
        </a:xfrm>
        <a:prstGeom prst="rect">
          <a:avLst/>
        </a:prstGeom>
      </xdr:spPr>
    </xdr:pic>
    <xdr:clientData/>
  </xdr:twoCellAnchor>
  <xdr:twoCellAnchor editAs="oneCell">
    <xdr:from>
      <xdr:col>2</xdr:col>
      <xdr:colOff>497626</xdr:colOff>
      <xdr:row>58</xdr:row>
      <xdr:rowOff>92813</xdr:rowOff>
    </xdr:from>
    <xdr:to>
      <xdr:col>7</xdr:col>
      <xdr:colOff>79921</xdr:colOff>
      <xdr:row>82</xdr:row>
      <xdr:rowOff>89096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59C3FCB4-22B9-47F7-BBCE-EA9009A9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5376" y="14475563"/>
          <a:ext cx="6440295" cy="4830221"/>
        </a:xfrm>
        <a:prstGeom prst="rect">
          <a:avLst/>
        </a:prstGeom>
      </xdr:spPr>
    </xdr:pic>
    <xdr:clientData/>
  </xdr:twoCellAnchor>
  <xdr:twoCellAnchor editAs="oneCell">
    <xdr:from>
      <xdr:col>7</xdr:col>
      <xdr:colOff>690563</xdr:colOff>
      <xdr:row>11</xdr:row>
      <xdr:rowOff>147561</xdr:rowOff>
    </xdr:from>
    <xdr:to>
      <xdr:col>11</xdr:col>
      <xdr:colOff>430406</xdr:colOff>
      <xdr:row>55</xdr:row>
      <xdr:rowOff>238041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A4ADCB5B-A1A9-4577-B7FF-282F82687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6313" y="2838374"/>
          <a:ext cx="6145406" cy="10925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46297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85</v>
      </c>
      <c r="E7" s="109"/>
      <c r="F7" s="110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">
        <v>86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36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25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37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84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87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29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88</v>
      </c>
      <c r="D43" s="106"/>
      <c r="E43" s="60">
        <f t="shared" ref="E43:E44" si="0">+$D$5</f>
        <v>46297</v>
      </c>
      <c r="F43" s="82" t="s">
        <v>81</v>
      </c>
      <c r="G43" s="82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89</v>
      </c>
      <c r="D44" s="106"/>
      <c r="E44" s="60">
        <f t="shared" si="0"/>
        <v>46297</v>
      </c>
      <c r="F44" s="83" t="s">
        <v>81</v>
      </c>
      <c r="G44" s="83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81"/>
      <c r="G45" s="81"/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81"/>
      <c r="G46" s="81"/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0"/>
      <c r="G47" s="80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0"/>
      <c r="G48" s="80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0"/>
      <c r="G49" s="80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0"/>
      <c r="G50" s="80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0"/>
      <c r="G51" s="80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0"/>
      <c r="G52" s="80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73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/>
      <c r="F56" s="80"/>
      <c r="G56" s="80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0"/>
      <c r="G57" s="80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73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28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26</v>
      </c>
      <c r="C75" s="87"/>
      <c r="D75" s="87"/>
      <c r="E75" s="158"/>
      <c r="F75" s="87" t="s">
        <v>67</v>
      </c>
      <c r="G75" s="87"/>
      <c r="H75" s="158"/>
      <c r="I75" s="86" t="s">
        <v>30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74</v>
      </c>
      <c r="G76" s="166"/>
      <c r="H76" s="167"/>
      <c r="I76" s="171" t="s">
        <v>24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23</v>
      </c>
      <c r="C86" s="87"/>
      <c r="D86" s="87"/>
      <c r="E86" s="158"/>
      <c r="F86" s="87" t="s">
        <v>63</v>
      </c>
      <c r="G86" s="87"/>
      <c r="H86" s="158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61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56</v>
      </c>
      <c r="C96" s="87"/>
      <c r="D96" s="87"/>
      <c r="E96" s="158"/>
      <c r="F96" s="87" t="s">
        <v>31</v>
      </c>
      <c r="G96" s="87"/>
      <c r="H96" s="158"/>
      <c r="I96" s="86" t="s">
        <v>27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72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91" sqref="I91:L9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46297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278</v>
      </c>
      <c r="E7" s="112"/>
      <c r="F7" s="113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tr">
        <f>'İLAVE İS TUT.'!I9</f>
        <v>C3 / 20.20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187"/>
      <c r="C15" s="187"/>
      <c r="D15" s="187"/>
      <c r="E15" s="75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5"/>
      <c r="F19" s="75"/>
      <c r="G19" s="75"/>
      <c r="H19" s="75"/>
      <c r="I19" s="184"/>
      <c r="J19" s="184"/>
      <c r="K19" s="184"/>
      <c r="L19" s="75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5"/>
      <c r="F21" s="75"/>
      <c r="G21" s="75"/>
      <c r="H21" s="75"/>
      <c r="I21" s="184"/>
      <c r="J21" s="184"/>
      <c r="K21" s="184"/>
      <c r="L21" s="75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5"/>
      <c r="F23" s="186"/>
      <c r="G23" s="186"/>
      <c r="H23" s="186"/>
      <c r="I23" s="184"/>
      <c r="J23" s="184"/>
      <c r="K23" s="184"/>
      <c r="L23" s="75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5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7"/>
      <c r="C26" s="77"/>
      <c r="D26" s="77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187"/>
      <c r="C33" s="187"/>
      <c r="D33" s="187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187"/>
      <c r="C34" s="187"/>
      <c r="D34" s="187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187"/>
      <c r="C35" s="187"/>
      <c r="D35" s="187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187"/>
      <c r="C36" s="187"/>
      <c r="D36" s="187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1"/>
      <c r="I41" s="191"/>
      <c r="J41" s="191"/>
      <c r="K41" s="191"/>
      <c r="L41" s="191"/>
    </row>
    <row r="42" spans="2:13" ht="25.15" customHeight="1" x14ac:dyDescent="0.25">
      <c r="B42" s="63"/>
      <c r="C42" s="64"/>
      <c r="D42" s="63"/>
      <c r="E42" s="63"/>
      <c r="F42" s="63"/>
      <c r="G42" s="63"/>
      <c r="H42" s="191"/>
      <c r="I42" s="191"/>
      <c r="J42" s="191"/>
      <c r="K42" s="191"/>
      <c r="L42" s="191"/>
    </row>
    <row r="43" spans="2:13" ht="25.15" customHeight="1" x14ac:dyDescent="0.25">
      <c r="B43" s="65"/>
      <c r="C43" s="192"/>
      <c r="D43" s="192"/>
      <c r="E43" s="66"/>
      <c r="F43" s="67"/>
      <c r="G43" s="67"/>
      <c r="H43" s="193"/>
      <c r="I43" s="193"/>
      <c r="J43" s="194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3"/>
      <c r="I44" s="193"/>
      <c r="J44" s="194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3"/>
      <c r="I45" s="193"/>
      <c r="J45" s="194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4"/>
      <c r="I46" s="192"/>
      <c r="J46" s="194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3"/>
      <c r="C49" s="64"/>
      <c r="D49" s="63"/>
      <c r="E49" s="63"/>
      <c r="F49" s="63"/>
      <c r="G49" s="63"/>
      <c r="H49" s="191"/>
      <c r="I49" s="191"/>
      <c r="J49" s="191"/>
      <c r="K49" s="191"/>
      <c r="L49" s="191"/>
    </row>
    <row r="50" spans="2:12" ht="25.15" customHeight="1" x14ac:dyDescent="0.25">
      <c r="B50" s="63"/>
      <c r="C50" s="64"/>
      <c r="D50" s="63"/>
      <c r="E50" s="63"/>
      <c r="F50" s="63"/>
      <c r="G50" s="63"/>
      <c r="H50" s="191"/>
      <c r="I50" s="191"/>
      <c r="J50" s="191"/>
      <c r="K50" s="191"/>
      <c r="L50" s="191"/>
    </row>
    <row r="51" spans="2:12" ht="25.15" customHeight="1" x14ac:dyDescent="0.25">
      <c r="B51" s="65"/>
      <c r="C51" s="192"/>
      <c r="D51" s="192"/>
      <c r="E51" s="68"/>
      <c r="F51" s="67"/>
      <c r="G51" s="67"/>
      <c r="H51" s="194"/>
      <c r="I51" s="192"/>
      <c r="J51" s="194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4"/>
      <c r="I52" s="192"/>
      <c r="J52" s="194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4"/>
      <c r="I53" s="192"/>
      <c r="J53" s="194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4"/>
      <c r="I54" s="192"/>
      <c r="J54" s="194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97"/>
      <c r="G61" s="198"/>
      <c r="H61" s="19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98"/>
      <c r="G62" s="198"/>
      <c r="H62" s="19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97"/>
      <c r="G63" s="198"/>
      <c r="H63" s="19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98"/>
      <c r="G64" s="198"/>
      <c r="H64" s="19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206"/>
      <c r="J74" s="206"/>
      <c r="K74" s="206"/>
      <c r="L74" s="206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206"/>
      <c r="J75" s="206"/>
      <c r="K75" s="206"/>
      <c r="L75" s="206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204"/>
      <c r="D83" s="204"/>
      <c r="E83" s="204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204"/>
      <c r="D84" s="204"/>
      <c r="E84" s="204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204"/>
      <c r="D86" s="204"/>
      <c r="E86" s="204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204"/>
      <c r="D87" s="204"/>
      <c r="E87" s="204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204"/>
      <c r="D93" s="204"/>
      <c r="E93" s="204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204"/>
      <c r="D94" s="204"/>
      <c r="E94" s="204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204"/>
      <c r="D96" s="204"/>
      <c r="E96" s="204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204"/>
      <c r="D97" s="204"/>
      <c r="E97" s="204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205"/>
      <c r="D102" s="205"/>
      <c r="E102" s="205"/>
      <c r="F102" s="205"/>
      <c r="G102" s="205"/>
      <c r="H102" s="205"/>
      <c r="I102" s="205"/>
      <c r="J102" s="205"/>
      <c r="K102" s="205"/>
      <c r="L102" s="70"/>
    </row>
    <row r="103" spans="2:12" ht="16.149999999999999" customHeight="1" x14ac:dyDescent="0.25">
      <c r="B103" s="70"/>
      <c r="C103" s="205"/>
      <c r="D103" s="205"/>
      <c r="E103" s="205"/>
      <c r="F103" s="205"/>
      <c r="G103" s="205"/>
      <c r="H103" s="205"/>
      <c r="I103" s="205"/>
      <c r="J103" s="205"/>
      <c r="K103" s="205"/>
      <c r="L103" s="70"/>
    </row>
    <row r="104" spans="2:12" ht="16.149999999999999" customHeight="1" x14ac:dyDescent="0.25">
      <c r="B104" s="70"/>
      <c r="C104" s="205"/>
      <c r="D104" s="205"/>
      <c r="E104" s="205"/>
      <c r="F104" s="205"/>
      <c r="G104" s="205"/>
      <c r="H104" s="205"/>
      <c r="I104" s="205"/>
      <c r="J104" s="205"/>
      <c r="K104" s="205"/>
      <c r="L104" s="70"/>
    </row>
    <row r="105" spans="2:12" ht="16.149999999999999" customHeight="1" x14ac:dyDescent="0.25">
      <c r="B105" s="70"/>
      <c r="C105" s="205"/>
      <c r="D105" s="205"/>
      <c r="E105" s="205"/>
      <c r="F105" s="205"/>
      <c r="G105" s="205"/>
      <c r="H105" s="205"/>
      <c r="I105" s="205"/>
      <c r="J105" s="205"/>
      <c r="K105" s="205"/>
      <c r="L105" s="7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2026-10-07T12:49:06Z</cp:lastPrinted>
  <dcterms:created xsi:type="dcterms:W3CDTF">2014-05-26T07:40:11Z</dcterms:created>
  <dcterms:modified xsi:type="dcterms:W3CDTF">2026-10-07T12:49:09Z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