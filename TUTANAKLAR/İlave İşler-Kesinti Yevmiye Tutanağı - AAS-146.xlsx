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146\"/>
    </mc:Choice>
  </mc:AlternateContent>
  <xr:revisionPtr revIDLastSave="0" documentId="13_ncr:1_{465AF8C6-5D34-4113-B94D-8C76E5CA6F8F}" xr6:coauthVersionLast="47" xr6:coauthVersionMax="47" xr10:uidLastSave="{00000000-0000-0000-0000-000000000000}"/>
  <bookViews>
    <workbookView xWindow="21990" yWindow="-340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I9" i="4" l="1"/>
  <c r="D5" i="4"/>
  <c r="J60" i="1" l="1"/>
  <c r="J59" i="1"/>
  <c r="J58" i="1"/>
  <c r="J57" i="1"/>
  <c r="J56" i="1"/>
  <c r="J52" i="1"/>
  <c r="J50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<sst xmlns="http://schemas.openxmlformats.org/spreadsheetml/2006/main" count="112" uniqueCount="93">
  <si>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</si>
  <si>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</si>
  <si>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</si>
  <si>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</si>
  <si>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</si>
  <si>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</si>
  <si>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</si>
  <si>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</si>
  <si>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</si>
  <si>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</si>
  <si>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</si>
  <si>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</si>
  <si>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</si>
  <si>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</si>
  <si>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</si>
  <si>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</si>
  <si>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</si>
  <si>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</si>
  <si>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</si>
  <si>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</si>
  <si>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</si>
  <si>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</si>
  <si>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</si>
  <si>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</si>
  <si>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</si>
  <si>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</si>
  <si>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</si>
  <si>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</si>
  <si>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</si>
  <si>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</si>
  <si>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</si>
  <si>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</si>
  <si>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</si>
  <si>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</si>
  <si>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</si>
  <si>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</si>
  <si>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</si>
  <si>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</si>
  <si>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</si>
  <si>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</si>
  <si>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</si>
  <si>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</si>
  <si>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</si>
  <si>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</si>
  <si>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</si>
  <si>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</si>
  <si>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</si>
  <si>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</si>
  <si>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</si>
  <si>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</si>
  <si>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</si>
  <si>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</si>
  <si>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</si>
  <si>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</si>
  <si>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</si>
  <si>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</si>
  <si>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</si>
  <si>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</si>
  <si>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</si>
  <si>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</si>
  <si>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</si>
  <si>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</si>
  <si>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</si>
  <si>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</si>
  <si>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</si>
  <si>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</si>
  <si>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</si>
  <si>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</si>
  <si>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</si>
  <si>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</si>
  <si>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</si>
  <si>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</si>
  <si>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</si>
  <si>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</si>
  <si>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</si>
  <si>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</si>
  <si>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</si>
  <si>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</si>
  <si>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</si>
  <si>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</si>
  <si>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</si>
  <si>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</si>
  <si>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</si>
  <si>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</si>
  <si>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İbrahim MENCİK (USTA)</t>
  </si>
  <si>
    <t>Muhammed ÇALAĞAN (USTA)</t>
  </si>
  <si>
    <t>FX ULTRA ALÇIPANEL</t>
  </si>
  <si>
    <t>m2</t>
  </si>
  <si>
    <t>C3 0.20</t>
  </si>
  <si>
    <t>Sinan Mencik(USTA)</t>
  </si>
  <si>
    <t>C3 Blok 0.20 kotu genelinde zaran gören alçıpan imalatlarının tamiratları tarafımızca yapılmıştır.</t>
  </si>
  <si>
    <t xml:space="preserve"> </t>
  </si>
  <si>
    <t>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</si>
</sst>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5" t="s">
        <v>66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5" t="s">
        <v>8</v>
      </c>
      <c r="C5" s="125"/>
      <c r="D5" s="122">
        <v>46179</v>
      </c>
      <c r="E5" s="123"/>
      <c r="F5" s="124"/>
      <c r="G5" s="42"/>
      <c r="H5" s="43" t="s">
        <v>35</v>
      </c>
      <c r="I5" s="119" t="s">
        <v>65</v>
      </c>
      <c r="J5" s="120"/>
      <c r="K5" s="120"/>
      <c r="L5" s="12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5" t="s">
        <v>9</v>
      </c>
      <c r="C7" s="126"/>
      <c r="D7" s="116" t="s">
        <v>92</v>
      </c>
      <c r="E7" s="117"/>
      <c r="F7" s="118"/>
      <c r="G7" s="42"/>
      <c r="H7" s="43" t="s">
        <v>34</v>
      </c>
      <c r="I7" s="119" t="s">
        <v>80</v>
      </c>
      <c r="J7" s="120"/>
      <c r="K7" s="120"/>
      <c r="L7" s="12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5" t="s">
        <v>10</v>
      </c>
      <c r="C9" s="126"/>
      <c r="D9" s="119" t="s">
        <v>81</v>
      </c>
      <c r="E9" s="120"/>
      <c r="F9" s="121"/>
      <c r="G9" s="42"/>
      <c r="H9" s="43" t="s">
        <v>36</v>
      </c>
      <c r="I9" s="119" t="s">
        <v>88</v>
      </c>
      <c r="J9" s="120"/>
      <c r="K9" s="120"/>
      <c r="L9" s="12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5" t="s">
        <v>11</v>
      </c>
      <c r="C12" s="125"/>
      <c r="D12" s="126"/>
      <c r="E12" s="127"/>
      <c r="F12" s="128"/>
      <c r="G12" s="128"/>
      <c r="H12" s="128"/>
      <c r="I12" s="128"/>
      <c r="J12" s="128"/>
      <c r="K12" s="128"/>
      <c r="L12" s="129"/>
      <c r="M12" s="1"/>
    </row>
    <row r="13" spans="2:13" ht="15.75" thickBot="1" x14ac:dyDescent="0.3">
      <c r="B13" s="125"/>
      <c r="C13" s="125"/>
      <c r="D13" s="126"/>
      <c r="E13" s="130"/>
      <c r="F13" s="131"/>
      <c r="G13" s="131"/>
      <c r="H13" s="131"/>
      <c r="I13" s="131"/>
      <c r="J13" s="131"/>
      <c r="K13" s="131"/>
      <c r="L13" s="13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2" t="s">
        <v>17</v>
      </c>
      <c r="C15" s="102"/>
      <c r="D15" s="103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2"/>
      <c r="C16" s="102"/>
      <c r="D16" s="103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2"/>
      <c r="C17" s="102"/>
      <c r="D17" s="10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2"/>
      <c r="C18" s="102"/>
      <c r="D18" s="103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2"/>
      <c r="C19" s="102"/>
      <c r="D19" s="103"/>
      <c r="E19" s="35"/>
      <c r="F19" s="36" t="s">
        <v>16</v>
      </c>
      <c r="G19" s="36"/>
      <c r="H19" s="36"/>
      <c r="I19" s="150"/>
      <c r="J19" s="151"/>
      <c r="K19" s="152"/>
      <c r="L19" s="38"/>
      <c r="M19" s="1"/>
    </row>
    <row r="20" spans="2:13" ht="4.1500000000000004" customHeight="1" thickBot="1" x14ac:dyDescent="0.3">
      <c r="B20" s="102"/>
      <c r="C20" s="102"/>
      <c r="D20" s="103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2"/>
      <c r="C21" s="102"/>
      <c r="D21" s="103"/>
      <c r="E21" s="35"/>
      <c r="F21" s="36" t="s">
        <v>7</v>
      </c>
      <c r="G21" s="36"/>
      <c r="H21" s="36"/>
      <c r="I21" s="150"/>
      <c r="J21" s="151"/>
      <c r="K21" s="152"/>
      <c r="L21" s="38"/>
      <c r="M21" s="1"/>
    </row>
    <row r="22" spans="2:13" ht="4.1500000000000004" customHeight="1" thickBot="1" x14ac:dyDescent="0.3">
      <c r="B22" s="102"/>
      <c r="C22" s="102"/>
      <c r="D22" s="103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2"/>
      <c r="C23" s="102"/>
      <c r="D23" s="103"/>
      <c r="E23" s="35"/>
      <c r="F23" s="146" t="s">
        <v>26</v>
      </c>
      <c r="G23" s="146"/>
      <c r="H23" s="147"/>
      <c r="I23" s="150"/>
      <c r="J23" s="151"/>
      <c r="K23" s="152"/>
      <c r="L23" s="38"/>
      <c r="M23" s="1"/>
    </row>
    <row r="24" spans="2:13" ht="4.1500000000000004" customHeight="1" x14ac:dyDescent="0.25">
      <c r="B24" s="102"/>
      <c r="C24" s="102"/>
      <c r="D24" s="103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2"/>
      <c r="C25" s="102"/>
      <c r="D25" s="103"/>
      <c r="E25" s="39"/>
      <c r="F25" s="144" t="s">
        <v>38</v>
      </c>
      <c r="G25" s="144"/>
      <c r="H25" s="144"/>
      <c r="I25" s="144"/>
      <c r="J25" s="144"/>
      <c r="K25" s="144"/>
      <c r="L25" s="145"/>
      <c r="M25" s="1"/>
    </row>
    <row r="26" spans="2:13" ht="10.9" customHeight="1" thickBot="1" x14ac:dyDescent="0.3">
      <c r="B26" s="33"/>
      <c r="C26" s="33"/>
      <c r="D26" s="33"/>
      <c r="E26" s="151"/>
      <c r="F26" s="151"/>
      <c r="G26" s="151"/>
      <c r="H26" s="151"/>
      <c r="I26" s="151"/>
      <c r="J26" s="151"/>
      <c r="K26" s="151"/>
      <c r="L26" s="151"/>
      <c r="M26" s="1"/>
    </row>
    <row r="27" spans="2:13" x14ac:dyDescent="0.25">
      <c r="B27" s="102" t="s">
        <v>23</v>
      </c>
      <c r="C27" s="102"/>
      <c r="D27" s="10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2"/>
      <c r="C28" s="102"/>
      <c r="D28" s="103"/>
      <c r="E28" s="109" t="s">
        <v>90</v>
      </c>
      <c r="F28" s="110"/>
      <c r="G28" s="110"/>
      <c r="H28" s="110"/>
      <c r="I28" s="110"/>
      <c r="J28" s="110"/>
      <c r="K28" s="110"/>
      <c r="L28" s="111"/>
      <c r="M28" s="1"/>
    </row>
    <row r="29" spans="2:13" x14ac:dyDescent="0.25">
      <c r="B29" s="102"/>
      <c r="C29" s="102"/>
      <c r="D29" s="103"/>
      <c r="E29" s="109"/>
      <c r="F29" s="110"/>
      <c r="G29" s="110"/>
      <c r="H29" s="110"/>
      <c r="I29" s="110"/>
      <c r="J29" s="110"/>
      <c r="K29" s="110"/>
      <c r="L29" s="111"/>
      <c r="M29" s="1"/>
    </row>
    <row r="30" spans="2:13" x14ac:dyDescent="0.25">
      <c r="B30" s="102"/>
      <c r="C30" s="102"/>
      <c r="D30" s="103"/>
      <c r="E30" s="109"/>
      <c r="F30" s="110"/>
      <c r="G30" s="110"/>
      <c r="H30" s="110"/>
      <c r="I30" s="110"/>
      <c r="J30" s="110"/>
      <c r="K30" s="110"/>
      <c r="L30" s="111"/>
      <c r="M30" s="1"/>
    </row>
    <row r="31" spans="2:13" ht="15.75" thickBot="1" x14ac:dyDescent="0.3">
      <c r="B31" s="102"/>
      <c r="C31" s="102"/>
      <c r="D31" s="103"/>
      <c r="E31" s="112"/>
      <c r="F31" s="113"/>
      <c r="G31" s="113"/>
      <c r="H31" s="113"/>
      <c r="I31" s="113"/>
      <c r="J31" s="113"/>
      <c r="K31" s="113"/>
      <c r="L31" s="114"/>
      <c r="M31" s="1"/>
    </row>
    <row r="32" spans="2:13" x14ac:dyDescent="0.25">
      <c r="B32" s="102"/>
      <c r="C32" s="102"/>
      <c r="D32" s="10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2"/>
      <c r="C33" s="102"/>
      <c r="D33" s="10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2"/>
      <c r="C34" s="102"/>
      <c r="D34" s="10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2"/>
      <c r="C35" s="102"/>
      <c r="D35" s="10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2"/>
      <c r="C36" s="102"/>
      <c r="D36" s="10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8" t="s">
        <v>13</v>
      </c>
      <c r="E38" s="139"/>
      <c r="F38" s="148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9"/>
      <c r="E39" s="145"/>
      <c r="F39" s="149"/>
      <c r="G39" s="144"/>
      <c r="H39" s="145"/>
      <c r="I39" s="144"/>
      <c r="J39" s="144"/>
      <c r="K39" s="144"/>
      <c r="L39" s="14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91</v>
      </c>
      <c r="E41" s="58"/>
      <c r="F41" s="58"/>
      <c r="G41" s="58"/>
      <c r="H41" s="107"/>
      <c r="I41" s="107"/>
      <c r="J41" s="107"/>
      <c r="K41" s="107"/>
      <c r="L41" s="143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08" t="s">
        <v>4</v>
      </c>
      <c r="I42" s="108"/>
      <c r="J42" s="108" t="s">
        <v>5</v>
      </c>
      <c r="K42" s="108"/>
      <c r="L42" s="133"/>
    </row>
    <row r="43" spans="2:13" ht="25.15" customHeight="1" x14ac:dyDescent="0.25">
      <c r="B43" s="2">
        <v>1</v>
      </c>
      <c r="C43" s="100" t="s">
        <v>84</v>
      </c>
      <c r="D43" s="101"/>
      <c r="E43" s="59">
        <v>46179</v>
      </c>
      <c r="F43" s="48" t="s">
        <v>82</v>
      </c>
      <c r="G43" s="48">
        <v>1</v>
      </c>
      <c r="H43" s="83"/>
      <c r="I43" s="83"/>
      <c r="J43" s="80">
        <f>+H43*G43</f>
        <v>0</v>
      </c>
      <c r="K43" s="81"/>
      <c r="L43" s="82"/>
    </row>
    <row r="44" spans="2:13" ht="25.15" customHeight="1" x14ac:dyDescent="0.25">
      <c r="B44" s="2">
        <v>2</v>
      </c>
      <c r="C44" s="100" t="s">
        <v>89</v>
      </c>
      <c r="D44" s="101"/>
      <c r="E44" s="59">
        <v>46179</v>
      </c>
      <c r="F44" s="48" t="s">
        <v>82</v>
      </c>
      <c r="G44" s="48">
        <v>1</v>
      </c>
      <c r="H44" s="83"/>
      <c r="I44" s="83"/>
      <c r="J44" s="80">
        <f t="shared" ref="J44:J60" si="0">+H44*G44</f>
        <v>0</v>
      </c>
      <c r="K44" s="81"/>
      <c r="L44" s="82"/>
    </row>
    <row r="45" spans="2:13" ht="25.15" customHeight="1" x14ac:dyDescent="0.25">
      <c r="B45" s="2">
        <v>3</v>
      </c>
      <c r="C45" s="100" t="s">
        <v>85</v>
      </c>
      <c r="D45" s="101"/>
      <c r="E45" s="59">
        <v>46179</v>
      </c>
      <c r="F45" s="73" t="s">
        <v>82</v>
      </c>
      <c r="G45" s="73">
        <v>1</v>
      </c>
      <c r="H45" s="83"/>
      <c r="I45" s="83"/>
      <c r="J45" s="80">
        <f t="shared" si="0"/>
        <v>0</v>
      </c>
      <c r="K45" s="81"/>
      <c r="L45" s="82"/>
    </row>
    <row r="46" spans="2:13" ht="25.15" customHeight="1" x14ac:dyDescent="0.25">
      <c r="B46" s="2">
        <v>4</v>
      </c>
      <c r="C46" s="104"/>
      <c r="D46" s="105"/>
      <c r="E46" s="59"/>
      <c r="F46" s="75"/>
      <c r="G46" s="75"/>
      <c r="H46" s="77"/>
      <c r="I46" s="77"/>
      <c r="J46" s="74"/>
      <c r="K46" s="75"/>
      <c r="L46" s="76"/>
    </row>
    <row r="47" spans="2:13" ht="25.15" customHeight="1" x14ac:dyDescent="0.25">
      <c r="B47" s="2">
        <v>5</v>
      </c>
      <c r="C47" s="104"/>
      <c r="D47" s="105"/>
      <c r="E47" s="59"/>
      <c r="F47" s="75"/>
      <c r="G47" s="75"/>
      <c r="H47" s="77"/>
      <c r="I47" s="77"/>
      <c r="J47" s="74"/>
      <c r="K47" s="75"/>
      <c r="L47" s="76"/>
    </row>
    <row r="48" spans="2:13" ht="25.15" customHeight="1" x14ac:dyDescent="0.25">
      <c r="B48" s="2">
        <v>6</v>
      </c>
      <c r="C48" s="104"/>
      <c r="D48" s="105"/>
      <c r="E48" s="59"/>
      <c r="F48" s="75"/>
      <c r="G48" s="75"/>
      <c r="H48" s="77"/>
      <c r="I48" s="77"/>
      <c r="J48" s="74"/>
      <c r="K48" s="75"/>
      <c r="L48" s="76"/>
    </row>
    <row r="49" spans="2:12" ht="25.15" customHeight="1" x14ac:dyDescent="0.25">
      <c r="B49" s="2">
        <v>7</v>
      </c>
      <c r="C49" s="78"/>
      <c r="D49" s="79"/>
      <c r="E49" s="59"/>
      <c r="F49" s="75"/>
      <c r="G49" s="75"/>
      <c r="H49" s="77"/>
      <c r="I49" s="77"/>
      <c r="J49" s="74"/>
      <c r="K49" s="75"/>
      <c r="L49" s="76"/>
    </row>
    <row r="50" spans="2:12" ht="25.15" customHeight="1" x14ac:dyDescent="0.25">
      <c r="B50" s="2">
        <v>8</v>
      </c>
      <c r="C50" s="78"/>
      <c r="D50" s="79"/>
      <c r="E50" s="59"/>
      <c r="F50" s="48"/>
      <c r="G50" s="48"/>
      <c r="H50" s="80"/>
      <c r="I50" s="81"/>
      <c r="J50" s="80">
        <f t="shared" si="0"/>
        <v>0</v>
      </c>
      <c r="K50" s="81"/>
      <c r="L50" s="82"/>
    </row>
    <row r="51" spans="2:12" ht="25.15" customHeight="1" x14ac:dyDescent="0.25">
      <c r="B51" s="2">
        <v>9</v>
      </c>
      <c r="C51" s="78"/>
      <c r="D51" s="79"/>
      <c r="E51" s="59"/>
      <c r="F51" s="75"/>
      <c r="G51" s="75"/>
      <c r="H51" s="74"/>
      <c r="I51" s="75"/>
      <c r="J51" s="74"/>
      <c r="K51" s="75"/>
      <c r="L51" s="76"/>
    </row>
    <row r="52" spans="2:12" ht="25.15" customHeight="1" thickBot="1" x14ac:dyDescent="0.3">
      <c r="B52" s="2">
        <v>10</v>
      </c>
      <c r="C52" s="78"/>
      <c r="D52" s="79"/>
      <c r="E52" s="59"/>
      <c r="F52" s="48"/>
      <c r="G52" s="48"/>
      <c r="H52" s="80"/>
      <c r="I52" s="81"/>
      <c r="J52" s="80">
        <f t="shared" si="0"/>
        <v>0</v>
      </c>
      <c r="K52" s="81"/>
      <c r="L52" s="82"/>
    </row>
    <row r="53" spans="2:12" ht="25.15" customHeight="1" thickBot="1" x14ac:dyDescent="0.3">
      <c r="B53" s="99" t="s">
        <v>74</v>
      </c>
      <c r="C53" s="99"/>
      <c r="D53" s="99"/>
      <c r="E53" s="99"/>
      <c r="F53" s="99"/>
      <c r="G53" s="99"/>
      <c r="H53" s="99"/>
      <c r="I53" s="99"/>
      <c r="J53" s="94">
        <f>+SUM(J43:L52)</f>
        <v>0</v>
      </c>
      <c r="K53" s="95"/>
      <c r="L53" s="96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07"/>
      <c r="I54" s="107"/>
      <c r="J54" s="107"/>
      <c r="K54" s="107"/>
      <c r="L54" s="143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08" t="s">
        <v>4</v>
      </c>
      <c r="I55" s="108"/>
      <c r="J55" s="108" t="s">
        <v>5</v>
      </c>
      <c r="K55" s="108"/>
      <c r="L55" s="133"/>
    </row>
    <row r="56" spans="2:12" ht="25.15" customHeight="1" x14ac:dyDescent="0.25">
      <c r="B56" s="2">
        <v>1</v>
      </c>
      <c r="C56" s="106" t="s">
        <v>86</v>
      </c>
      <c r="D56" s="81"/>
      <c r="E56" s="59">
        <v>46177</v>
      </c>
      <c r="F56" s="48" t="s">
        <v>87</v>
      </c>
      <c r="G56" s="48">
        <v>52.8</v>
      </c>
      <c r="H56" s="80"/>
      <c r="I56" s="81"/>
      <c r="J56" s="80">
        <f t="shared" si="0"/>
        <v>0</v>
      </c>
      <c r="K56" s="81"/>
      <c r="L56" s="82"/>
    </row>
    <row r="57" spans="2:12" ht="25.15" customHeight="1" x14ac:dyDescent="0.25">
      <c r="B57" s="2">
        <v>2</v>
      </c>
      <c r="C57" s="106"/>
      <c r="D57" s="81"/>
      <c r="E57" s="59"/>
      <c r="F57" s="48"/>
      <c r="G57" s="48"/>
      <c r="H57" s="80"/>
      <c r="I57" s="81"/>
      <c r="J57" s="80">
        <f t="shared" si="0"/>
        <v>0</v>
      </c>
      <c r="K57" s="81"/>
      <c r="L57" s="82"/>
    </row>
    <row r="58" spans="2:12" ht="25.15" customHeight="1" x14ac:dyDescent="0.25">
      <c r="B58" s="2">
        <v>3</v>
      </c>
      <c r="C58" s="106"/>
      <c r="D58" s="81"/>
      <c r="E58" s="59"/>
      <c r="F58" s="48"/>
      <c r="G58" s="48"/>
      <c r="H58" s="80"/>
      <c r="I58" s="81"/>
      <c r="J58" s="80">
        <f t="shared" si="0"/>
        <v>0</v>
      </c>
      <c r="K58" s="81"/>
      <c r="L58" s="82"/>
    </row>
    <row r="59" spans="2:12" ht="25.15" customHeight="1" x14ac:dyDescent="0.25">
      <c r="B59" s="2">
        <v>4</v>
      </c>
      <c r="C59" s="106"/>
      <c r="D59" s="81"/>
      <c r="E59" s="59"/>
      <c r="F59" s="48"/>
      <c r="G59" s="48"/>
      <c r="H59" s="80"/>
      <c r="I59" s="81"/>
      <c r="J59" s="80">
        <f t="shared" si="0"/>
        <v>0</v>
      </c>
      <c r="K59" s="81"/>
      <c r="L59" s="82"/>
    </row>
    <row r="60" spans="2:12" ht="25.15" customHeight="1" thickBot="1" x14ac:dyDescent="0.3">
      <c r="B60" s="2">
        <v>5</v>
      </c>
      <c r="C60" s="106"/>
      <c r="D60" s="81"/>
      <c r="E60" s="47"/>
      <c r="F60" s="48"/>
      <c r="G60" s="48"/>
      <c r="H60" s="80"/>
      <c r="I60" s="81"/>
      <c r="J60" s="80">
        <f t="shared" si="0"/>
        <v>0</v>
      </c>
      <c r="K60" s="81"/>
      <c r="L60" s="82"/>
    </row>
    <row r="61" spans="2:12" ht="25.15" customHeight="1" thickBot="1" x14ac:dyDescent="0.3">
      <c r="B61" s="99" t="s">
        <v>74</v>
      </c>
      <c r="C61" s="99"/>
      <c r="D61" s="99"/>
      <c r="E61" s="99"/>
      <c r="F61" s="99"/>
      <c r="G61" s="99"/>
      <c r="H61" s="99"/>
      <c r="I61" s="99"/>
      <c r="J61" s="94">
        <f>+SUM(J56:L60)</f>
        <v>0</v>
      </c>
      <c r="K61" s="95"/>
      <c r="L61" s="96"/>
    </row>
    <row r="62" spans="2:12" ht="25.15" customHeight="1" thickBot="1" x14ac:dyDescent="0.3">
      <c r="B62" s="99" t="s">
        <v>6</v>
      </c>
      <c r="C62" s="99"/>
      <c r="D62" s="99"/>
      <c r="E62" s="99"/>
      <c r="F62" s="99"/>
      <c r="G62" s="99"/>
      <c r="H62" s="99"/>
      <c r="I62" s="99"/>
      <c r="J62" s="94">
        <f>+J61+J53</f>
        <v>0</v>
      </c>
      <c r="K62" s="95"/>
      <c r="L62" s="96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93"/>
      <c r="I63" s="93"/>
      <c r="J63" s="97"/>
      <c r="K63" s="98"/>
      <c r="L63" s="98"/>
    </row>
    <row r="64" spans="2:12" ht="21" customHeight="1" x14ac:dyDescent="0.25">
      <c r="B64" s="90" t="s">
        <v>15</v>
      </c>
      <c r="C64" s="88"/>
      <c r="D64" s="88"/>
      <c r="E64" s="89"/>
      <c r="F64" s="88" t="s">
        <v>14</v>
      </c>
      <c r="G64" s="88"/>
      <c r="H64" s="89"/>
      <c r="I64" s="90" t="s">
        <v>22</v>
      </c>
      <c r="J64" s="88"/>
      <c r="K64" s="88"/>
      <c r="L64" s="9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4" t="s">
        <v>29</v>
      </c>
      <c r="G66" s="85"/>
      <c r="H66" s="8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7"/>
      <c r="G67" s="85"/>
      <c r="H67" s="8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4"/>
      <c r="G68" s="85"/>
      <c r="H68" s="8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7"/>
      <c r="G69" s="85"/>
      <c r="H69" s="8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91" t="s">
        <v>27</v>
      </c>
      <c r="C75" s="88"/>
      <c r="D75" s="88"/>
      <c r="E75" s="89"/>
      <c r="F75" s="88" t="s">
        <v>68</v>
      </c>
      <c r="G75" s="88"/>
      <c r="H75" s="89"/>
      <c r="I75" s="90" t="s">
        <v>31</v>
      </c>
      <c r="J75" s="88"/>
      <c r="K75" s="88"/>
      <c r="L75" s="92"/>
    </row>
    <row r="76" spans="2:12" ht="19.899999999999999" customHeight="1" x14ac:dyDescent="0.25">
      <c r="B76" s="154"/>
      <c r="C76" s="155"/>
      <c r="D76" s="155"/>
      <c r="E76" s="156"/>
      <c r="F76" s="162" t="s">
        <v>75</v>
      </c>
      <c r="G76" s="163"/>
      <c r="H76" s="164"/>
      <c r="I76" s="168" t="s">
        <v>25</v>
      </c>
      <c r="J76" s="169"/>
      <c r="K76" s="169"/>
      <c r="L76" s="170"/>
    </row>
    <row r="77" spans="2:12" ht="19.899999999999999" customHeight="1" x14ac:dyDescent="0.25">
      <c r="B77" s="157"/>
      <c r="C77" s="158"/>
      <c r="D77" s="158"/>
      <c r="E77" s="159"/>
      <c r="F77" s="165"/>
      <c r="G77" s="166"/>
      <c r="H77" s="167"/>
      <c r="I77" s="171"/>
      <c r="J77" s="172"/>
      <c r="K77" s="172"/>
      <c r="L77" s="173"/>
    </row>
    <row r="78" spans="2:12" ht="19.899999999999999" customHeight="1" x14ac:dyDescent="0.25">
      <c r="B78" s="157"/>
      <c r="C78" s="158"/>
      <c r="D78" s="158"/>
      <c r="E78" s="159"/>
      <c r="F78" s="165"/>
      <c r="G78" s="166"/>
      <c r="H78" s="167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4"/>
      <c r="J79" s="175"/>
      <c r="K79" s="175"/>
      <c r="L79" s="176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4"/>
      <c r="J80" s="175"/>
      <c r="K80" s="175"/>
      <c r="L80" s="176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90" t="s">
        <v>24</v>
      </c>
      <c r="C86" s="88"/>
      <c r="D86" s="88"/>
      <c r="E86" s="89"/>
      <c r="F86" s="88" t="s">
        <v>64</v>
      </c>
      <c r="G86" s="88"/>
      <c r="H86" s="89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0" t="s">
        <v>62</v>
      </c>
      <c r="D88" s="160"/>
      <c r="E88" s="161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0"/>
      <c r="D89" s="160"/>
      <c r="E89" s="161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0"/>
      <c r="D91" s="160"/>
      <c r="E91" s="161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0"/>
      <c r="D92" s="160"/>
      <c r="E92" s="161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90" t="s">
        <v>57</v>
      </c>
      <c r="C96" s="88"/>
      <c r="D96" s="88"/>
      <c r="E96" s="89"/>
      <c r="F96" s="88" t="s">
        <v>32</v>
      </c>
      <c r="G96" s="88"/>
      <c r="H96" s="89"/>
      <c r="I96" s="90" t="s">
        <v>28</v>
      </c>
      <c r="J96" s="88"/>
      <c r="K96" s="88"/>
      <c r="L96" s="9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0"/>
      <c r="D98" s="160"/>
      <c r="E98" s="161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0"/>
      <c r="D99" s="160"/>
      <c r="E99" s="161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0"/>
      <c r="D101" s="160"/>
      <c r="E101" s="161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0"/>
      <c r="D102" s="160"/>
      <c r="E102" s="161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53" t="s">
        <v>73</v>
      </c>
      <c r="D107" s="153"/>
      <c r="E107" s="153"/>
      <c r="F107" s="153"/>
      <c r="G107" s="153"/>
      <c r="H107" s="153"/>
      <c r="I107" s="153"/>
      <c r="J107" s="153"/>
      <c r="K107" s="153"/>
      <c r="L107" s="4"/>
    </row>
    <row r="108" spans="2:12" ht="16.149999999999999" customHeight="1" x14ac:dyDescent="0.25">
      <c r="B108" s="4"/>
      <c r="C108" s="153"/>
      <c r="D108" s="153"/>
      <c r="E108" s="153"/>
      <c r="F108" s="153"/>
      <c r="G108" s="153"/>
      <c r="H108" s="153"/>
      <c r="I108" s="153"/>
      <c r="J108" s="153"/>
      <c r="K108" s="153"/>
      <c r="L108" s="4"/>
    </row>
    <row r="109" spans="2:12" ht="16.149999999999999" customHeight="1" x14ac:dyDescent="0.25">
      <c r="B109" s="4"/>
      <c r="C109" s="153"/>
      <c r="D109" s="153"/>
      <c r="E109" s="153"/>
      <c r="F109" s="153"/>
      <c r="G109" s="153"/>
      <c r="H109" s="153"/>
      <c r="I109" s="153"/>
      <c r="J109" s="153"/>
      <c r="K109" s="153"/>
      <c r="L109" s="4"/>
    </row>
    <row r="110" spans="2:12" ht="16.149999999999999" customHeight="1" x14ac:dyDescent="0.25">
      <c r="B110" s="4"/>
      <c r="C110" s="153"/>
      <c r="D110" s="153"/>
      <c r="E110" s="153"/>
      <c r="F110" s="153"/>
      <c r="G110" s="153"/>
      <c r="H110" s="153"/>
      <c r="I110" s="153"/>
      <c r="J110" s="153"/>
      <c r="K110" s="153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00"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J53:L53"/>
    <mergeCell ref="B61:I61"/>
    <mergeCell ref="J61:L61"/>
    <mergeCell ref="H58:I58"/>
    <mergeCell ref="J58:L58"/>
    <mergeCell ref="H59:I59"/>
    <mergeCell ref="J59:L59"/>
    <mergeCell ref="H57:I57"/>
    <mergeCell ref="J57:L57"/>
    <mergeCell ref="C58:D58"/>
    <mergeCell ref="C59:D59"/>
    <mergeCell ref="C60:D60"/>
    <mergeCell ref="C57:D57"/>
    <mergeCell ref="J56:L56"/>
    <mergeCell ref="J54:L54"/>
    <mergeCell ref="J55:L55"/>
    <mergeCell ref="H41:I41"/>
    <mergeCell ref="B15:D25"/>
    <mergeCell ref="I19:K19"/>
    <mergeCell ref="I21:K21"/>
    <mergeCell ref="I23:K23"/>
    <mergeCell ref="F38:H39"/>
    <mergeCell ref="E26:L26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B27:D36"/>
    <mergeCell ref="C43:D43"/>
    <mergeCell ref="C46:D46"/>
    <mergeCell ref="C56:D56"/>
    <mergeCell ref="C47:D47"/>
    <mergeCell ref="C48:D48"/>
    <mergeCell ref="B53:I53"/>
    <mergeCell ref="C44:D44"/>
    <mergeCell ref="H56:I56"/>
    <mergeCell ref="H54:I54"/>
    <mergeCell ref="H55:I55"/>
    <mergeCell ref="H43:I43"/>
    <mergeCell ref="E28:L31"/>
    <mergeCell ref="J44:L44"/>
    <mergeCell ref="H44:I44"/>
    <mergeCell ref="I64:L64"/>
    <mergeCell ref="J60:L60"/>
    <mergeCell ref="H63:I63"/>
    <mergeCell ref="J62:L62"/>
    <mergeCell ref="J63:L63"/>
    <mergeCell ref="B62:I62"/>
    <mergeCell ref="H60:I60"/>
    <mergeCell ref="F66:H67"/>
    <mergeCell ref="F64:H64"/>
    <mergeCell ref="B64:E64"/>
    <mergeCell ref="F75:H75"/>
    <mergeCell ref="B75:E75"/>
    <mergeCell ref="J43:L43"/>
    <mergeCell ref="J52:L52"/>
    <mergeCell ref="H45:I45"/>
    <mergeCell ref="J45:L45"/>
    <mergeCell ref="H50:I50"/>
    <mergeCell ref="J50:L50"/>
    <mergeCell ref="H52:I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5" t="s">
        <v>83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5" t="s">
        <v>8</v>
      </c>
      <c r="C5" s="125"/>
      <c r="D5" s="122">
        <f>'İLAVE İS TUT.'!D5</f>
        <v>46179</v>
      </c>
      <c r="E5" s="123"/>
      <c r="F5" s="124"/>
      <c r="G5" s="42"/>
      <c r="H5" s="43" t="s">
        <v>35</v>
      </c>
      <c r="I5" s="119" t="s">
        <v>65</v>
      </c>
      <c r="J5" s="120"/>
      <c r="K5" s="120"/>
      <c r="L5" s="12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5" t="s">
        <v>9</v>
      </c>
      <c r="C7" s="126"/>
      <c r="D7" s="177" t="str">
        <f>'İLAVE İS TUT.'!D7</f>
        <v>146</v>
      </c>
      <c r="E7" s="120"/>
      <c r="F7" s="121"/>
      <c r="G7" s="42"/>
      <c r="H7" s="43" t="s">
        <v>34</v>
      </c>
      <c r="I7" s="119" t="s">
        <v>80</v>
      </c>
      <c r="J7" s="120"/>
      <c r="K7" s="120"/>
      <c r="L7" s="12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5" t="s">
        <v>10</v>
      </c>
      <c r="C9" s="126"/>
      <c r="D9" s="119" t="s">
        <v>81</v>
      </c>
      <c r="E9" s="120"/>
      <c r="F9" s="121"/>
      <c r="G9" s="42"/>
      <c r="H9" s="43" t="s">
        <v>36</v>
      </c>
      <c r="I9" s="119" t="str">
        <f>'İLAVE İS TUT.'!I9</f>
        <v>C3 0.20</v>
      </c>
      <c r="J9" s="120"/>
      <c r="K9" s="120"/>
      <c r="L9" s="12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5"/>
      <c r="C12" s="125"/>
      <c r="D12" s="125"/>
      <c r="E12" s="146"/>
      <c r="F12" s="146"/>
      <c r="G12" s="146"/>
      <c r="H12" s="146"/>
      <c r="I12" s="146"/>
      <c r="J12" s="146"/>
      <c r="K12" s="146"/>
      <c r="L12" s="146"/>
      <c r="M12" s="1"/>
    </row>
    <row r="13" spans="2:13" x14ac:dyDescent="0.25">
      <c r="B13" s="125"/>
      <c r="C13" s="125"/>
      <c r="D13" s="125"/>
      <c r="E13" s="146"/>
      <c r="F13" s="146"/>
      <c r="G13" s="146"/>
      <c r="H13" s="146"/>
      <c r="I13" s="146"/>
      <c r="J13" s="146"/>
      <c r="K13" s="146"/>
      <c r="L13" s="146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2"/>
      <c r="C15" s="102"/>
      <c r="D15" s="102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02"/>
      <c r="C16" s="102"/>
      <c r="D16" s="102"/>
      <c r="E16" s="141"/>
      <c r="F16" s="141"/>
      <c r="G16" s="141"/>
      <c r="H16" s="141"/>
      <c r="I16" s="141"/>
      <c r="J16" s="141"/>
      <c r="K16" s="141"/>
      <c r="L16" s="141"/>
      <c r="M16" s="1"/>
    </row>
    <row r="17" spans="2:13" ht="25.9" customHeight="1" x14ac:dyDescent="0.25">
      <c r="B17" s="102"/>
      <c r="C17" s="102"/>
      <c r="D17" s="102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02"/>
      <c r="C18" s="102"/>
      <c r="D18" s="102"/>
      <c r="E18" s="141"/>
      <c r="F18" s="141"/>
      <c r="G18" s="141"/>
      <c r="H18" s="141"/>
      <c r="I18" s="141"/>
      <c r="J18" s="141"/>
      <c r="K18" s="141"/>
      <c r="L18" s="141"/>
      <c r="M18" s="1"/>
    </row>
    <row r="19" spans="2:13" ht="25.9" customHeight="1" x14ac:dyDescent="0.25">
      <c r="B19" s="102"/>
      <c r="C19" s="102"/>
      <c r="D19" s="102"/>
      <c r="E19" s="36"/>
      <c r="F19" s="36"/>
      <c r="G19" s="36"/>
      <c r="H19" s="36"/>
      <c r="I19" s="141"/>
      <c r="J19" s="141"/>
      <c r="K19" s="141"/>
      <c r="L19" s="36"/>
      <c r="M19" s="1"/>
    </row>
    <row r="20" spans="2:13" ht="4.1500000000000004" customHeight="1" x14ac:dyDescent="0.25">
      <c r="B20" s="102"/>
      <c r="C20" s="102"/>
      <c r="D20" s="102"/>
      <c r="E20" s="141"/>
      <c r="F20" s="141"/>
      <c r="G20" s="141"/>
      <c r="H20" s="141"/>
      <c r="I20" s="141"/>
      <c r="J20" s="141"/>
      <c r="K20" s="141"/>
      <c r="L20" s="141"/>
      <c r="M20" s="1"/>
    </row>
    <row r="21" spans="2:13" ht="25.9" customHeight="1" x14ac:dyDescent="0.25">
      <c r="B21" s="102"/>
      <c r="C21" s="102"/>
      <c r="D21" s="102"/>
      <c r="E21" s="36"/>
      <c r="F21" s="36"/>
      <c r="G21" s="36"/>
      <c r="H21" s="36"/>
      <c r="I21" s="141"/>
      <c r="J21" s="141"/>
      <c r="K21" s="141"/>
      <c r="L21" s="36"/>
      <c r="M21" s="1"/>
    </row>
    <row r="22" spans="2:13" ht="4.1500000000000004" customHeight="1" x14ac:dyDescent="0.25">
      <c r="B22" s="102"/>
      <c r="C22" s="102"/>
      <c r="D22" s="102"/>
      <c r="E22" s="141"/>
      <c r="F22" s="141"/>
      <c r="G22" s="141"/>
      <c r="H22" s="141"/>
      <c r="I22" s="141"/>
      <c r="J22" s="141"/>
      <c r="K22" s="141"/>
      <c r="L22" s="141"/>
      <c r="M22" s="1"/>
    </row>
    <row r="23" spans="2:13" ht="25.9" customHeight="1" x14ac:dyDescent="0.25">
      <c r="B23" s="102"/>
      <c r="C23" s="102"/>
      <c r="D23" s="102"/>
      <c r="E23" s="36"/>
      <c r="F23" s="146"/>
      <c r="G23" s="146"/>
      <c r="H23" s="146"/>
      <c r="I23" s="141"/>
      <c r="J23" s="141"/>
      <c r="K23" s="141"/>
      <c r="L23" s="36"/>
      <c r="M23" s="1"/>
    </row>
    <row r="24" spans="2:13" ht="4.1500000000000004" customHeight="1" x14ac:dyDescent="0.25">
      <c r="B24" s="102"/>
      <c r="C24" s="102"/>
      <c r="D24" s="102"/>
      <c r="E24" s="141"/>
      <c r="F24" s="141"/>
      <c r="G24" s="141"/>
      <c r="H24" s="141"/>
      <c r="I24" s="141"/>
      <c r="J24" s="141"/>
      <c r="K24" s="141"/>
      <c r="L24" s="141"/>
      <c r="M24" s="1"/>
    </row>
    <row r="25" spans="2:13" ht="25.9" customHeight="1" x14ac:dyDescent="0.25">
      <c r="B25" s="102"/>
      <c r="C25" s="102"/>
      <c r="D25" s="102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41"/>
      <c r="F26" s="141"/>
      <c r="G26" s="141"/>
      <c r="H26" s="141"/>
      <c r="I26" s="141"/>
      <c r="J26" s="141"/>
      <c r="K26" s="141"/>
      <c r="L26" s="141"/>
      <c r="M26" s="1"/>
    </row>
    <row r="27" spans="2:13" x14ac:dyDescent="0.25">
      <c r="B27" s="102"/>
      <c r="C27" s="102"/>
      <c r="D27" s="102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02"/>
      <c r="C28" s="102"/>
      <c r="D28" s="102"/>
      <c r="E28" s="146"/>
      <c r="F28" s="146"/>
      <c r="G28" s="146"/>
      <c r="H28" s="146"/>
      <c r="I28" s="146"/>
      <c r="J28" s="146"/>
      <c r="K28" s="146"/>
      <c r="L28" s="146"/>
      <c r="M28" s="1"/>
    </row>
    <row r="29" spans="2:13" x14ac:dyDescent="0.25">
      <c r="B29" s="102"/>
      <c r="C29" s="102"/>
      <c r="D29" s="102"/>
      <c r="E29" s="146"/>
      <c r="F29" s="146"/>
      <c r="G29" s="146"/>
      <c r="H29" s="146"/>
      <c r="I29" s="146"/>
      <c r="J29" s="146"/>
      <c r="K29" s="146"/>
      <c r="L29" s="146"/>
      <c r="M29" s="1"/>
    </row>
    <row r="30" spans="2:13" x14ac:dyDescent="0.25">
      <c r="B30" s="102"/>
      <c r="C30" s="102"/>
      <c r="D30" s="102"/>
      <c r="E30" s="146"/>
      <c r="F30" s="146"/>
      <c r="G30" s="146"/>
      <c r="H30" s="146"/>
      <c r="I30" s="146"/>
      <c r="J30" s="146"/>
      <c r="K30" s="146"/>
      <c r="L30" s="146"/>
      <c r="M30" s="1"/>
    </row>
    <row r="31" spans="2:13" x14ac:dyDescent="0.25">
      <c r="B31" s="102"/>
      <c r="C31" s="102"/>
      <c r="D31" s="102"/>
      <c r="E31" s="146"/>
      <c r="F31" s="146"/>
      <c r="G31" s="146"/>
      <c r="H31" s="146"/>
      <c r="I31" s="146"/>
      <c r="J31" s="146"/>
      <c r="K31" s="146"/>
      <c r="L31" s="146"/>
      <c r="M31" s="1"/>
    </row>
    <row r="32" spans="2:13" x14ac:dyDescent="0.25">
      <c r="B32" s="102"/>
      <c r="C32" s="102"/>
      <c r="D32" s="102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02"/>
      <c r="C33" s="102"/>
      <c r="D33" s="102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02"/>
      <c r="C34" s="102"/>
      <c r="D34" s="102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02"/>
      <c r="C35" s="102"/>
      <c r="D35" s="102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02"/>
      <c r="C36" s="102"/>
      <c r="D36" s="102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2026-06-12T13:03:02Z</cp:lastPrinted>
  <dcterms:created xsi:type="dcterms:W3CDTF">2014-05-26T07:40:11Z</dcterms:created>
  <dcterms:modified xsi:type="dcterms:W3CDTF">2026-06-12T13:03:05Z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