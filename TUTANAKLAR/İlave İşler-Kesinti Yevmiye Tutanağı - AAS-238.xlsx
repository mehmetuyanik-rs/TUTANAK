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31ADD1BE-E6B1-43EE-9157-7E1CE32AB5F8}" xr6:coauthVersionLast="47" xr6:coauthVersionMax="47" xr10:uidLastSave="{00000000-0000-0000-0000-000000000000}"/>
  <bookViews>
    <workbookView xWindow="37710" yWindow="4155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<sst xmlns="http://schemas.openxmlformats.org/spreadsheetml/2006/main" count="108" uniqueCount="90">
  <si>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</si>
  <si>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</si>
  <si>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</si>
  <si>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</si>
  <si>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</si>
  <si>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</si>
  <si>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</si>
  <si>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</si>
  <si>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</si>
  <si>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</si>
  <si>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</si>
  <si>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</si>
  <si>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</si>
  <si>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</si>
  <si>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</si>
  <si>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</si>
  <si>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</si>
  <si>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</si>
  <si>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</si>
  <si>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</si>
  <si>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</si>
  <si>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</si>
  <si>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</si>
  <si>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</si>
  <si>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</si>
  <si>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</si>
  <si>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</si>
  <si>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</si>
  <si>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</si>
  <si>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</si>
  <si>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</si>
  <si>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</si>
  <si>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</si>
  <si>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</si>
  <si>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</si>
  <si>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</si>
  <si>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</si>
  <si>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</si>
  <si>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</si>
  <si>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</si>
  <si>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</si>
  <si>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</si>
  <si>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</si>
  <si>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</si>
  <si>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</si>
  <si>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</si>
  <si>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</si>
  <si>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</si>
  <si>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</si>
  <si>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</si>
  <si>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</si>
  <si>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</si>
  <si>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</si>
  <si>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</si>
  <si>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</si>
  <si>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</si>
  <si>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</si>
  <si>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</si>
  <si>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</si>
  <si>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</si>
  <si>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</si>
  <si>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</si>
  <si>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</si>
  <si>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</si>
  <si>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</si>
  <si>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</si>
  <si>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</si>
  <si>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</si>
  <si>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</si>
  <si>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</si>
  <si>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</si>
  <si>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</si>
  <si>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</si>
  <si>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</si>
  <si>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</si>
  <si>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</si>
  <si>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</si>
  <si>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</si>
  <si>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</si>
  <si>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</si>
  <si>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</si>
  <si>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</si>
  <si>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</si>
  <si>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</si>
  <si>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</si>
  <si>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238</t>
  </si>
  <si>
    <t>C5 / 20.20</t>
  </si>
  <si>
    <t>C5 Blok 20.20 kotunda, mekanik biriminin imalatlarımıza engel olan malzemeleri uygun alanlara taşınmıştır .</t>
  </si>
  <si>
    <t>ORHAN ERDURAN (USTA YARDIMCISI)</t>
  </si>
  <si>
    <t>EROL TUNA(USTA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</si>
</sst>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238125</xdr:colOff>
      <xdr:row>12</xdr:row>
      <xdr:rowOff>119062</xdr:rowOff>
    </xdr:from>
    <xdr:to>
      <xdr:col>9</xdr:col>
      <xdr:colOff>519113</xdr:colOff>
      <xdr:row>53</xdr:row>
      <xdr:rowOff>152400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4AD06BCE-A586-41A2-8BDF-5E11F68FA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1938" y="3000375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4</xdr:col>
      <xdr:colOff>221438</xdr:colOff>
      <xdr:row>54</xdr:row>
      <xdr:rowOff>126187</xdr:rowOff>
    </xdr:from>
    <xdr:to>
      <xdr:col>9</xdr:col>
      <xdr:colOff>532009</xdr:colOff>
      <xdr:row>103</xdr:row>
      <xdr:rowOff>111900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52CF059B-949E-4DF8-88BB-1579F5521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5251" y="13342125"/>
          <a:ext cx="7573383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46245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86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89</v>
      </c>
      <c r="D43" s="88"/>
      <c r="E43" s="73">
        <f t="shared" ref="E43:E44" si="0">+$D$5</f>
        <v>46245</v>
      </c>
      <c r="F43" s="74" t="s">
        <v>82</v>
      </c>
      <c r="G43" s="74">
        <v>1</v>
      </c>
      <c r="H43" s="86">
        <v>2851.48</v>
      </c>
      <c r="I43" s="86"/>
      <c r="J43" s="168">
        <f>+H43*G43</f>
        <v>2851.48</v>
      </c>
      <c r="K43" s="168"/>
      <c r="L43" s="169"/>
    </row>
    <row r="44" spans="2:13" ht="25.15" customHeight="1" x14ac:dyDescent="0.25">
      <c r="B44" s="2">
        <v>2</v>
      </c>
      <c r="C44" s="165" t="s">
        <v>88</v>
      </c>
      <c r="D44" s="166"/>
      <c r="E44" s="73">
        <f t="shared" si="0"/>
        <v>46245</v>
      </c>
      <c r="F44" s="74" t="s">
        <v>82</v>
      </c>
      <c r="G44" s="74">
        <v>1</v>
      </c>
      <c r="H44" s="86">
        <v>2851.48</v>
      </c>
      <c r="I44" s="86"/>
      <c r="J44" s="168">
        <f t="shared" ref="J44:J60" si="1">+H44*G44</f>
        <v>2851.48</v>
      </c>
      <c r="K44" s="168"/>
      <c r="L44" s="169"/>
    </row>
    <row r="45" spans="2:13" ht="25.15" customHeight="1" x14ac:dyDescent="0.25">
      <c r="B45" s="2">
        <v>3</v>
      </c>
      <c r="C45" s="165"/>
      <c r="D45" s="166"/>
      <c r="E45" s="73"/>
      <c r="F45" s="75"/>
      <c r="G45" s="75"/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5"/>
      <c r="D46" s="166"/>
      <c r="E46" s="73"/>
      <c r="F46" s="76"/>
      <c r="G46" s="76"/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5"/>
      <c r="D47" s="166"/>
      <c r="E47" s="73"/>
      <c r="F47" s="76"/>
      <c r="G47" s="76"/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5"/>
      <c r="D48" s="166"/>
      <c r="E48" s="73"/>
      <c r="F48" s="77"/>
      <c r="G48" s="77"/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7"/>
      <c r="G49" s="77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7"/>
      <c r="G50" s="77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7"/>
      <c r="G51" s="77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7"/>
      <c r="G52" s="77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70">
        <f>+SUM(J43:L52)</f>
        <v>5702.96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/>
      <c r="D56" s="163"/>
      <c r="E56" s="73"/>
      <c r="F56" s="48"/>
      <c r="G56" s="48"/>
      <c r="H56" s="167"/>
      <c r="I56" s="163"/>
      <c r="J56" s="167">
        <f t="shared" si="1"/>
        <v>0</v>
      </c>
      <c r="K56" s="163"/>
      <c r="L56" s="173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7"/>
      <c r="I57" s="163"/>
      <c r="J57" s="167">
        <f t="shared" si="1"/>
        <v>0</v>
      </c>
      <c r="K57" s="163"/>
      <c r="L57" s="173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7"/>
      <c r="I58" s="163"/>
      <c r="J58" s="167">
        <f t="shared" si="1"/>
        <v>0</v>
      </c>
      <c r="K58" s="163"/>
      <c r="L58" s="173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7"/>
      <c r="I59" s="163"/>
      <c r="J59" s="167">
        <f t="shared" si="1"/>
        <v>0</v>
      </c>
      <c r="K59" s="163"/>
      <c r="L59" s="173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7"/>
      <c r="I60" s="163"/>
      <c r="J60" s="167">
        <f t="shared" si="1"/>
        <v>0</v>
      </c>
      <c r="K60" s="163"/>
      <c r="L60" s="173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70">
        <f>+SUM(J56:L60)</f>
        <v>0</v>
      </c>
      <c r="K61" s="171"/>
      <c r="L61" s="172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70">
        <f>+J61+J53</f>
        <v>5702.96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J69" sqref="J6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46245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238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C5 / 20.20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2026-08-21T08:26:34Z</cp:lastPrinted>
  <dcterms:created xsi:type="dcterms:W3CDTF">2014-05-26T07:40:11Z</dcterms:created>
  <dcterms:modified xsi:type="dcterms:W3CDTF">2026-08-21T08:26:36Z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