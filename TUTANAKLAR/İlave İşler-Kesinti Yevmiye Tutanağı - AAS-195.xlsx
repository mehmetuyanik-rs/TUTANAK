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BAE4157-7F15-419E-BEE1-1F777FE7DD4D}" xr6:coauthVersionLast="47" xr6:coauthVersionMax="47" xr10:uidLastSave="{00000000-0000-0000-0000-000000000000}"/>
  <bookViews>
    <workbookView xWindow="20370" yWindow="-5655" windowWidth="38640" windowHeight="212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<sst xmlns="http://schemas.openxmlformats.org/spreadsheetml/2006/main" count="122" uniqueCount="98">
  <si>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</si>
  <si>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</si>
  <si>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</si>
  <si>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</si>
  <si>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</si>
  <si>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</si>
  <si>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</si>
  <si>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</si>
  <si>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</si>
  <si>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</si>
  <si>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</si>
  <si>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</si>
  <si>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</si>
  <si>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</si>
  <si>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</si>
  <si>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</si>
  <si>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</si>
  <si>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</si>
  <si>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</si>
  <si>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</si>
  <si>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</si>
  <si>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</si>
  <si>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</si>
  <si>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</si>
  <si>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</si>
  <si>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</si>
  <si>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</si>
  <si>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</si>
  <si>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</si>
  <si>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</si>
  <si>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</si>
  <si>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</si>
  <si>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</si>
  <si>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</si>
  <si>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</si>
  <si>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</si>
  <si>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</si>
  <si>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</si>
  <si>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</si>
  <si>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</si>
  <si>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</si>
  <si>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</si>
  <si>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</si>
  <si>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</si>
  <si>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</si>
  <si>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</si>
  <si>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</si>
  <si>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</si>
  <si>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</si>
  <si>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</si>
  <si>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</si>
  <si>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</si>
  <si>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</si>
  <si>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</si>
  <si>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</si>
  <si>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</si>
  <si>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</si>
  <si>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</si>
  <si>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</si>
  <si>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</si>
  <si>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</si>
  <si>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</si>
  <si>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</si>
  <si>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</si>
  <si>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</si>
  <si>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</si>
  <si>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</si>
  <si>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</si>
  <si>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</si>
  <si>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</si>
  <si>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</si>
  <si>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</si>
  <si>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</si>
  <si>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</si>
  <si>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</si>
  <si>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</si>
  <si>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</si>
  <si>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</si>
  <si>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</si>
  <si>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</si>
  <si>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</si>
  <si>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</si>
  <si>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</si>
  <si>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</si>
  <si>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</si>
  <si>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CİHAN MENCİK(USTA)</t>
  </si>
  <si>
    <t>ZAFER HEJA MENCİK(USTA YARDIMCISI)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</si>
  <si>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</si>
  <si>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</si>
  <si>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</si>
  <si>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</si>
  <si>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MUHAMMED ÇALAĞAN(USTA)</t>
  </si>
  <si>
    <t>SİNAN MENCİK(USTA)</t>
  </si>
  <si>
    <t>HASAN TANRISEVEN(USTA YARDIMCISI)</t>
  </si>
  <si>
    <t>MEHMET SİNAN MENCİK(USTA)</t>
  </si>
  <si>
    <t>İSA ÇİFTÇİ(USTA YARDIMCISI)</t>
  </si>
  <si>
    <t>MEHMET EYYÜP ARĞİŞ(USTA YARDIMCISI)</t>
  </si>
  <si>
    <t>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</si>
</sst>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activeCellId="1" sqref="B27:D36 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46216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97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89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90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85</v>
      </c>
      <c r="D43" s="88"/>
      <c r="E43" s="73">
        <f t="shared" ref="E43:E50" si="0">+$D$5</f>
        <v>46216</v>
      </c>
      <c r="F43" s="75" t="s">
        <v>82</v>
      </c>
      <c r="G43" s="75">
        <v>1</v>
      </c>
      <c r="H43" s="86">
        <v>4126.4799999999996</v>
      </c>
      <c r="I43" s="86"/>
      <c r="J43" s="166">
        <f>+H43*G43</f>
        <v>4126.4799999999996</v>
      </c>
      <c r="K43" s="166"/>
      <c r="L43" s="167"/>
    </row>
    <row r="44" spans="2:13" ht="25.15" customHeight="1" x14ac:dyDescent="0.25">
      <c r="B44" s="2">
        <v>2</v>
      </c>
      <c r="C44" s="87" t="s">
        <v>91</v>
      </c>
      <c r="D44" s="88"/>
      <c r="E44" s="73">
        <f t="shared" si="0"/>
        <v>46216</v>
      </c>
      <c r="F44" s="75" t="s">
        <v>82</v>
      </c>
      <c r="G44" s="75">
        <v>1</v>
      </c>
      <c r="H44" s="86">
        <v>4126.4799999999996</v>
      </c>
      <c r="I44" s="86"/>
      <c r="J44" s="166">
        <f t="shared" ref="J44:J60" si="1">+H44*G44</f>
        <v>4126.4799999999996</v>
      </c>
      <c r="K44" s="166"/>
      <c r="L44" s="167"/>
    </row>
    <row r="45" spans="2:13" ht="25.15" customHeight="1" x14ac:dyDescent="0.25">
      <c r="B45" s="2">
        <v>3</v>
      </c>
      <c r="C45" s="87" t="s">
        <v>94</v>
      </c>
      <c r="D45" s="88"/>
      <c r="E45" s="73">
        <f t="shared" si="0"/>
        <v>46216</v>
      </c>
      <c r="F45" s="76" t="s">
        <v>82</v>
      </c>
      <c r="G45" s="76">
        <v>1</v>
      </c>
      <c r="H45" s="86">
        <v>4126.4799999999996</v>
      </c>
      <c r="I45" s="86"/>
      <c r="J45" s="166">
        <f t="shared" si="1"/>
        <v>4126.4799999999996</v>
      </c>
      <c r="K45" s="166"/>
      <c r="L45" s="167"/>
    </row>
    <row r="46" spans="2:13" ht="25.15" customHeight="1" x14ac:dyDescent="0.25">
      <c r="B46" s="2">
        <v>4</v>
      </c>
      <c r="C46" s="87" t="s">
        <v>92</v>
      </c>
      <c r="D46" s="88"/>
      <c r="E46" s="73">
        <f t="shared" si="0"/>
        <v>46216</v>
      </c>
      <c r="F46" s="77" t="s">
        <v>82</v>
      </c>
      <c r="G46" s="77">
        <v>1</v>
      </c>
      <c r="H46" s="86">
        <v>4126.4799999999996</v>
      </c>
      <c r="I46" s="86"/>
      <c r="J46" s="166">
        <f t="shared" ref="J46:J52" si="2">+H46*G46</f>
        <v>4126.4799999999996</v>
      </c>
      <c r="K46" s="166"/>
      <c r="L46" s="167"/>
    </row>
    <row r="47" spans="2:13" ht="25.15" customHeight="1" x14ac:dyDescent="0.25">
      <c r="B47" s="2">
        <v>5</v>
      </c>
      <c r="C47" s="87" t="s">
        <v>86</v>
      </c>
      <c r="D47" s="88"/>
      <c r="E47" s="73">
        <f t="shared" si="0"/>
        <v>46216</v>
      </c>
      <c r="F47" s="77" t="s">
        <v>82</v>
      </c>
      <c r="G47" s="77">
        <v>1</v>
      </c>
      <c r="H47" s="86">
        <v>2851.48</v>
      </c>
      <c r="I47" s="86"/>
      <c r="J47" s="166">
        <f t="shared" si="2"/>
        <v>2851.48</v>
      </c>
      <c r="K47" s="166"/>
      <c r="L47" s="167"/>
    </row>
    <row r="48" spans="2:13" ht="25.15" customHeight="1" x14ac:dyDescent="0.25">
      <c r="B48" s="2">
        <v>6</v>
      </c>
      <c r="C48" s="87" t="s">
        <v>93</v>
      </c>
      <c r="D48" s="88"/>
      <c r="E48" s="73">
        <f t="shared" si="0"/>
        <v>46216</v>
      </c>
      <c r="F48" s="77" t="s">
        <v>82</v>
      </c>
      <c r="G48" s="77">
        <v>1</v>
      </c>
      <c r="H48" s="86">
        <v>2851.48</v>
      </c>
      <c r="I48" s="86"/>
      <c r="J48" s="166">
        <f t="shared" ref="J48:J50" si="3">+H48*G48</f>
        <v>2851.48</v>
      </c>
      <c r="K48" s="166"/>
      <c r="L48" s="167"/>
    </row>
    <row r="49" spans="2:12" ht="25.15" customHeight="1" x14ac:dyDescent="0.25">
      <c r="B49" s="2">
        <v>7</v>
      </c>
      <c r="C49" s="87" t="s">
        <v>95</v>
      </c>
      <c r="D49" s="88"/>
      <c r="E49" s="73">
        <f t="shared" si="0"/>
        <v>46216</v>
      </c>
      <c r="F49" s="77" t="s">
        <v>82</v>
      </c>
      <c r="G49" s="77">
        <v>1</v>
      </c>
      <c r="H49" s="86">
        <v>2851.48</v>
      </c>
      <c r="I49" s="86"/>
      <c r="J49" s="166">
        <f t="shared" si="3"/>
        <v>2851.48</v>
      </c>
      <c r="K49" s="166"/>
      <c r="L49" s="167"/>
    </row>
    <row r="50" spans="2:12" ht="25.15" customHeight="1" x14ac:dyDescent="0.25">
      <c r="B50" s="2">
        <v>8</v>
      </c>
      <c r="C50" s="87" t="s">
        <v>96</v>
      </c>
      <c r="D50" s="88"/>
      <c r="E50" s="73">
        <f t="shared" si="0"/>
        <v>46216</v>
      </c>
      <c r="F50" s="77" t="s">
        <v>82</v>
      </c>
      <c r="G50" s="77">
        <v>1</v>
      </c>
      <c r="H50" s="86">
        <v>2851.48</v>
      </c>
      <c r="I50" s="86"/>
      <c r="J50" s="166">
        <f t="shared" si="3"/>
        <v>2851.48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4"/>
      <c r="G51" s="74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4"/>
      <c r="G52" s="74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27911.839999999997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87</v>
      </c>
      <c r="D56" s="163"/>
      <c r="E56" s="73">
        <f>+E43</f>
        <v>46216</v>
      </c>
      <c r="F56" s="48" t="s">
        <v>88</v>
      </c>
      <c r="G56" s="48">
        <v>126.72</v>
      </c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27911.839999999997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46216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195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C6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2026-07-15T08:32:19Z</cp:lastPrinted>
  <dcterms:created xsi:type="dcterms:W3CDTF">2014-05-26T07:40:11Z</dcterms:created>
  <dcterms:modified xsi:type="dcterms:W3CDTF">2026-07-15T08:33:43Z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