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088389D-D483-443F-BB35-03C041373E2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51" i="1"/>
  <c r="E45" i="1"/>
  <c r="E44" i="1"/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<sst xmlns="http://schemas.openxmlformats.org/spreadsheetml/2006/main" count="113" uniqueCount="92">
  <si>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</si>
  <si>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</si>
  <si>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</si>
  <si>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</si>
  <si>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</si>
  <si>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</si>
  <si>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</si>
  <si>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</si>
  <si>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</si>
  <si>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</si>
  <si>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</si>
  <si>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</si>
  <si>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</si>
  <si>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</si>
  <si>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</si>
  <si>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</si>
  <si>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</si>
  <si>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</si>
  <si>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</si>
  <si>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</si>
  <si>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</si>
  <si>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</si>
  <si>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</si>
  <si>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</si>
  <si>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</si>
  <si>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</si>
  <si>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</si>
  <si>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</si>
  <si>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</si>
  <si>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</si>
  <si>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</si>
  <si>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</si>
  <si>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</si>
  <si>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</si>
  <si>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</si>
  <si>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</si>
  <si>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</si>
  <si>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</si>
  <si>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</si>
  <si>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</si>
  <si>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</si>
  <si>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</si>
  <si>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</si>
  <si>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</si>
  <si>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</si>
  <si>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</si>
  <si>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</si>
  <si>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</si>
  <si>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</si>
  <si>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</si>
  <si>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</si>
  <si>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</si>
  <si>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</si>
  <si>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</si>
  <si>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</si>
  <si>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</si>
  <si>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</si>
  <si>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</si>
  <si>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</si>
  <si>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</si>
  <si>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</si>
  <si>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</si>
  <si>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</si>
  <si>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</si>
  <si>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</si>
  <si>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</si>
  <si>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</si>
  <si>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</si>
  <si>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</si>
  <si>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</si>
  <si>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</si>
  <si>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</si>
  <si>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</si>
  <si>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</si>
  <si>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</si>
  <si>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</si>
  <si>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</si>
  <si>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</si>
  <si>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</si>
  <si>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</si>
  <si>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</si>
  <si>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</si>
  <si>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</si>
  <si>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</si>
  <si>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048</t>
  </si>
  <si>
    <t>REC talebi ile mobilizasyon alanında mekanik oda inşaa edildi. 143 m2 gazbeton duvar yapıldı.</t>
  </si>
  <si>
    <t>(1.1.1) 15 cm kalınlığında gazbeton yapılması</t>
  </si>
  <si>
    <t>m2</t>
  </si>
  <si>
    <t>RAMAZAN SOYSAL  (Usta)</t>
  </si>
  <si>
    <t>YUSUF SOYSAL  (Usta)</t>
  </si>
  <si>
    <t>MİHRAÇ YALDIZLI (Usta)</t>
  </si>
  <si>
    <t>MAHMUT YILDIZ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</si>
</sst>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14287</xdr:colOff>
      <xdr:row>9</xdr:row>
      <xdr:rowOff>80962</xdr:rowOff>
    </xdr:from>
    <xdr:to>
      <xdr:col>11</xdr:col>
      <xdr:colOff>321444</xdr:colOff>
      <xdr:row>48</xdr:row>
      <xdr:rowOff>280987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F0B3AE9-72BA-4EF3-BF7C-073BB8BBD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987" y="2557462"/>
          <a:ext cx="12880157" cy="9229725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49</xdr:row>
      <xdr:rowOff>114300</xdr:rowOff>
    </xdr:from>
    <xdr:to>
      <xdr:col>11</xdr:col>
      <xdr:colOff>533400</xdr:colOff>
      <xdr:row>67</xdr:row>
      <xdr:rowOff>104775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BB8852B6-CF19-4652-A21B-14037E24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4700" y="11925300"/>
          <a:ext cx="7772400" cy="4371975"/>
        </a:xfrm>
        <a:prstGeom prst="rect">
          <a:avLst/>
        </a:prstGeom>
      </xdr:spPr>
    </xdr:pic>
    <xdr:clientData/>
  </xdr:twoCellAnchor>
  <xdr:twoCellAnchor editAs="oneCell">
    <xdr:from>
      <xdr:col>2</xdr:col>
      <xdr:colOff>150000</xdr:colOff>
      <xdr:row>49</xdr:row>
      <xdr:rowOff>111900</xdr:rowOff>
    </xdr:from>
    <xdr:to>
      <xdr:col>5</xdr:col>
      <xdr:colOff>1197750</xdr:colOff>
      <xdr:row>94</xdr:row>
      <xdr:rowOff>188100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C9740F84-32A2-4671-A5D6-DCF161B2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700" y="119229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9" sqref="D9:F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46027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84</v>
      </c>
      <c r="E7" s="109"/>
      <c r="F7" s="110"/>
      <c r="G7" s="42"/>
      <c r="H7" s="43" t="s">
        <v>34</v>
      </c>
      <c r="I7" s="111"/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/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26"/>
      <c r="F12" s="127"/>
      <c r="G12" s="127"/>
      <c r="H12" s="127"/>
      <c r="I12" s="127"/>
      <c r="J12" s="127"/>
      <c r="K12" s="127"/>
      <c r="L12" s="128"/>
      <c r="M12" s="1"/>
    </row>
    <row r="13" spans="2:13" ht="15.75" thickBot="1" x14ac:dyDescent="0.3">
      <c r="B13" s="117"/>
      <c r="C13" s="117"/>
      <c r="D13" s="118"/>
      <c r="E13" s="129"/>
      <c r="F13" s="130"/>
      <c r="G13" s="130"/>
      <c r="H13" s="130"/>
      <c r="I13" s="130"/>
      <c r="J13" s="130"/>
      <c r="K13" s="130"/>
      <c r="L13" s="13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6" t="s">
        <v>37</v>
      </c>
      <c r="G15" s="136"/>
      <c r="H15" s="136"/>
      <c r="I15" s="136"/>
      <c r="J15" s="136"/>
      <c r="K15" s="136"/>
      <c r="L15" s="137"/>
      <c r="M15" s="1"/>
    </row>
    <row r="16" spans="2:13" ht="4.1500000000000004" customHeight="1" x14ac:dyDescent="0.25">
      <c r="B16" s="105"/>
      <c r="C16" s="105"/>
      <c r="D16" s="106"/>
      <c r="E16" s="138"/>
      <c r="F16" s="139"/>
      <c r="G16" s="139"/>
      <c r="H16" s="139"/>
      <c r="I16" s="139"/>
      <c r="J16" s="139"/>
      <c r="K16" s="139"/>
      <c r="L16" s="140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38"/>
      <c r="F18" s="139"/>
      <c r="G18" s="139"/>
      <c r="H18" s="139"/>
      <c r="I18" s="139"/>
      <c r="J18" s="139"/>
      <c r="K18" s="139"/>
      <c r="L18" s="140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7"/>
      <c r="J19" s="125"/>
      <c r="K19" s="148"/>
      <c r="L19" s="38"/>
      <c r="M19" s="1"/>
    </row>
    <row r="20" spans="2:13" ht="4.1500000000000004" customHeight="1" thickBot="1" x14ac:dyDescent="0.3">
      <c r="B20" s="105"/>
      <c r="C20" s="105"/>
      <c r="D20" s="106"/>
      <c r="E20" s="138"/>
      <c r="F20" s="139"/>
      <c r="G20" s="139"/>
      <c r="H20" s="139"/>
      <c r="I20" s="139"/>
      <c r="J20" s="139"/>
      <c r="K20" s="139"/>
      <c r="L20" s="140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7"/>
      <c r="J21" s="125"/>
      <c r="K21" s="148"/>
      <c r="L21" s="38"/>
      <c r="M21" s="1"/>
    </row>
    <row r="22" spans="2:13" ht="4.1500000000000004" customHeight="1" thickBot="1" x14ac:dyDescent="0.3">
      <c r="B22" s="105"/>
      <c r="C22" s="105"/>
      <c r="D22" s="106"/>
      <c r="E22" s="138"/>
      <c r="F22" s="139"/>
      <c r="G22" s="139"/>
      <c r="H22" s="139"/>
      <c r="I22" s="139"/>
      <c r="J22" s="139"/>
      <c r="K22" s="139"/>
      <c r="L22" s="140"/>
      <c r="M22" s="1"/>
    </row>
    <row r="23" spans="2:13" ht="25.9" customHeight="1" thickBot="1" x14ac:dyDescent="0.3">
      <c r="B23" s="105"/>
      <c r="C23" s="105"/>
      <c r="D23" s="106"/>
      <c r="E23" s="35"/>
      <c r="F23" s="143" t="s">
        <v>26</v>
      </c>
      <c r="G23" s="143"/>
      <c r="H23" s="144"/>
      <c r="I23" s="147"/>
      <c r="J23" s="125"/>
      <c r="K23" s="148"/>
      <c r="L23" s="38"/>
      <c r="M23" s="1"/>
    </row>
    <row r="24" spans="2:13" ht="4.1500000000000004" customHeight="1" x14ac:dyDescent="0.25">
      <c r="B24" s="105"/>
      <c r="C24" s="105"/>
      <c r="D24" s="106"/>
      <c r="E24" s="138"/>
      <c r="F24" s="139"/>
      <c r="G24" s="139"/>
      <c r="H24" s="139"/>
      <c r="I24" s="139"/>
      <c r="J24" s="139"/>
      <c r="K24" s="139"/>
      <c r="L24" s="140"/>
      <c r="M24" s="1"/>
    </row>
    <row r="25" spans="2:13" ht="25.9" customHeight="1" thickBot="1" x14ac:dyDescent="0.3">
      <c r="B25" s="105"/>
      <c r="C25" s="105"/>
      <c r="D25" s="106"/>
      <c r="E25" s="39"/>
      <c r="F25" s="141" t="s">
        <v>38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19" t="s">
        <v>85</v>
      </c>
      <c r="F28" s="120"/>
      <c r="G28" s="120"/>
      <c r="H28" s="120"/>
      <c r="I28" s="120"/>
      <c r="J28" s="120"/>
      <c r="K28" s="120"/>
      <c r="L28" s="121"/>
      <c r="M28" s="1"/>
    </row>
    <row r="29" spans="2:13" x14ac:dyDescent="0.25">
      <c r="B29" s="105"/>
      <c r="C29" s="105"/>
      <c r="D29" s="106"/>
      <c r="E29" s="119"/>
      <c r="F29" s="120"/>
      <c r="G29" s="120"/>
      <c r="H29" s="120"/>
      <c r="I29" s="120"/>
      <c r="J29" s="120"/>
      <c r="K29" s="120"/>
      <c r="L29" s="121"/>
      <c r="M29" s="1"/>
    </row>
    <row r="30" spans="2:13" x14ac:dyDescent="0.25">
      <c r="B30" s="105"/>
      <c r="C30" s="105"/>
      <c r="D30" s="106"/>
      <c r="E30" s="119"/>
      <c r="F30" s="120"/>
      <c r="G30" s="120"/>
      <c r="H30" s="120"/>
      <c r="I30" s="120"/>
      <c r="J30" s="120"/>
      <c r="K30" s="120"/>
      <c r="L30" s="121"/>
      <c r="M30" s="1"/>
    </row>
    <row r="31" spans="2:13" ht="15.75" thickBot="1" x14ac:dyDescent="0.3">
      <c r="B31" s="105"/>
      <c r="C31" s="105"/>
      <c r="D31" s="106"/>
      <c r="E31" s="122"/>
      <c r="F31" s="123"/>
      <c r="G31" s="123"/>
      <c r="H31" s="123"/>
      <c r="I31" s="123"/>
      <c r="J31" s="123"/>
      <c r="K31" s="123"/>
      <c r="L31" s="124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2" t="s">
        <v>12</v>
      </c>
      <c r="C38" s="133"/>
      <c r="D38" s="145" t="s">
        <v>13</v>
      </c>
      <c r="E38" s="137"/>
      <c r="F38" s="145" t="s">
        <v>30</v>
      </c>
      <c r="G38" s="136"/>
      <c r="H38" s="137"/>
      <c r="I38" s="136" t="s">
        <v>18</v>
      </c>
      <c r="J38" s="136"/>
      <c r="K38" s="136"/>
      <c r="L38" s="137"/>
      <c r="M38" s="1"/>
    </row>
    <row r="39" spans="2:13" ht="15.75" thickBot="1" x14ac:dyDescent="0.3">
      <c r="B39" s="134"/>
      <c r="C39" s="135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2" t="s">
        <v>86</v>
      </c>
      <c r="D43" s="86"/>
      <c r="E43" s="60">
        <f>D$5</f>
        <v>46027</v>
      </c>
      <c r="F43" s="48" t="s">
        <v>87</v>
      </c>
      <c r="G43" s="48">
        <v>143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2" t="s">
        <v>88</v>
      </c>
      <c r="D44" s="86"/>
      <c r="E44" s="60">
        <f>D$5</f>
        <v>46027</v>
      </c>
      <c r="F44" s="82" t="s">
        <v>82</v>
      </c>
      <c r="G44" s="82">
        <v>1</v>
      </c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 t="s">
        <v>89</v>
      </c>
      <c r="D45" s="104"/>
      <c r="E45" s="60">
        <f>D$5</f>
        <v>46027</v>
      </c>
      <c r="F45" s="83" t="s">
        <v>82</v>
      </c>
      <c r="G45" s="83">
        <v>1</v>
      </c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 t="s">
        <v>90</v>
      </c>
      <c r="D46" s="104"/>
      <c r="E46" s="60">
        <f>D$5</f>
        <v>46027</v>
      </c>
      <c r="F46" s="84" t="s">
        <v>82</v>
      </c>
      <c r="G46" s="84">
        <v>1</v>
      </c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3" t="s">
        <v>91</v>
      </c>
      <c r="D47" s="104"/>
      <c r="E47" s="60">
        <f>D$5</f>
        <v>46027</v>
      </c>
      <c r="F47" s="84" t="s">
        <v>82</v>
      </c>
      <c r="G47" s="84">
        <v>1</v>
      </c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5" t="s">
        <v>74</v>
      </c>
      <c r="C48" s="155"/>
      <c r="D48" s="155"/>
      <c r="E48" s="155"/>
      <c r="F48" s="155"/>
      <c r="G48" s="155"/>
      <c r="H48" s="155"/>
      <c r="I48" s="155"/>
      <c r="J48" s="150">
        <f>+SUM(J43:L47)</f>
        <v>0</v>
      </c>
      <c r="K48" s="151"/>
      <c r="L48" s="15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 t="s">
        <v>86</v>
      </c>
      <c r="D51" s="86"/>
      <c r="E51" s="60">
        <f>E43</f>
        <v>46027</v>
      </c>
      <c r="F51" s="78" t="s">
        <v>87</v>
      </c>
      <c r="G51" s="48">
        <v>143</v>
      </c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/>
      <c r="D52" s="86"/>
      <c r="E52" s="60"/>
      <c r="F52" s="82"/>
      <c r="G52" s="82"/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/>
      <c r="D53" s="86"/>
      <c r="E53" s="60"/>
      <c r="F53" s="82"/>
      <c r="G53" s="82"/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/>
      <c r="D54" s="86"/>
      <c r="E54" s="60"/>
      <c r="F54" s="81"/>
      <c r="G54" s="48"/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5" t="s">
        <v>74</v>
      </c>
      <c r="C56" s="155"/>
      <c r="D56" s="155"/>
      <c r="E56" s="155"/>
      <c r="F56" s="155"/>
      <c r="G56" s="155"/>
      <c r="H56" s="155"/>
      <c r="I56" s="155"/>
      <c r="J56" s="150">
        <f>+SUM(J51:L55)</f>
        <v>0</v>
      </c>
      <c r="K56" s="151"/>
      <c r="L56" s="152"/>
    </row>
    <row r="57" spans="2:12" ht="25.15" customHeight="1" thickBot="1" x14ac:dyDescent="0.3">
      <c r="B57" s="155" t="s">
        <v>6</v>
      </c>
      <c r="C57" s="155"/>
      <c r="D57" s="155"/>
      <c r="E57" s="155"/>
      <c r="F57" s="155"/>
      <c r="G57" s="155"/>
      <c r="H57" s="155"/>
      <c r="I57" s="155"/>
      <c r="J57" s="150">
        <f>+J56+J48</f>
        <v>0</v>
      </c>
      <c r="K57" s="151"/>
      <c r="L57" s="15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9"/>
      <c r="I58" s="149"/>
      <c r="J58" s="153"/>
      <c r="K58" s="154"/>
      <c r="L58" s="154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7"/>
      <c r="C71" s="158"/>
      <c r="D71" s="158"/>
      <c r="E71" s="159"/>
      <c r="F71" s="165" t="s">
        <v>75</v>
      </c>
      <c r="G71" s="166"/>
      <c r="H71" s="167"/>
      <c r="I71" s="171" t="s">
        <v>25</v>
      </c>
      <c r="J71" s="172"/>
      <c r="K71" s="172"/>
      <c r="L71" s="173"/>
    </row>
    <row r="72" spans="2:12" ht="19.899999999999999" customHeight="1" x14ac:dyDescent="0.25">
      <c r="B72" s="160"/>
      <c r="C72" s="161"/>
      <c r="D72" s="161"/>
      <c r="E72" s="162"/>
      <c r="F72" s="168"/>
      <c r="G72" s="169"/>
      <c r="H72" s="170"/>
      <c r="I72" s="174"/>
      <c r="J72" s="175"/>
      <c r="K72" s="175"/>
      <c r="L72" s="176"/>
    </row>
    <row r="73" spans="2:12" ht="19.899999999999999" customHeight="1" x14ac:dyDescent="0.25">
      <c r="B73" s="160"/>
      <c r="C73" s="161"/>
      <c r="D73" s="161"/>
      <c r="E73" s="162"/>
      <c r="F73" s="168"/>
      <c r="G73" s="169"/>
      <c r="H73" s="17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7"/>
      <c r="J74" s="178"/>
      <c r="K74" s="178"/>
      <c r="L74" s="17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7"/>
      <c r="J75" s="178"/>
      <c r="K75" s="178"/>
      <c r="L75" s="17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3" t="s">
        <v>62</v>
      </c>
      <c r="D83" s="163"/>
      <c r="E83" s="164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3"/>
      <c r="D84" s="163"/>
      <c r="E84" s="164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3"/>
      <c r="D86" s="163"/>
      <c r="E86" s="16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3"/>
      <c r="D87" s="163"/>
      <c r="E87" s="16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3"/>
      <c r="D93" s="163"/>
      <c r="E93" s="164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3"/>
      <c r="D94" s="163"/>
      <c r="E94" s="164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3"/>
      <c r="D96" s="163"/>
      <c r="E96" s="16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3"/>
      <c r="D97" s="163"/>
      <c r="E97" s="16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6" t="s">
        <v>73</v>
      </c>
      <c r="D102" s="156"/>
      <c r="E102" s="156"/>
      <c r="F102" s="156"/>
      <c r="G102" s="156"/>
      <c r="H102" s="156"/>
      <c r="I102" s="156"/>
      <c r="J102" s="156"/>
      <c r="K102" s="156"/>
      <c r="L102" s="4"/>
    </row>
    <row r="103" spans="2:12" ht="16.149999999999999" customHeight="1" x14ac:dyDescent="0.25">
      <c r="B103" s="4"/>
      <c r="C103" s="156"/>
      <c r="D103" s="156"/>
      <c r="E103" s="156"/>
      <c r="F103" s="156"/>
      <c r="G103" s="156"/>
      <c r="H103" s="156"/>
      <c r="I103" s="156"/>
      <c r="J103" s="156"/>
      <c r="K103" s="156"/>
      <c r="L103" s="4"/>
    </row>
    <row r="104" spans="2:12" ht="16.149999999999999" customHeight="1" x14ac:dyDescent="0.25">
      <c r="B104" s="4"/>
      <c r="C104" s="156"/>
      <c r="D104" s="156"/>
      <c r="E104" s="156"/>
      <c r="F104" s="156"/>
      <c r="G104" s="156"/>
      <c r="H104" s="156"/>
      <c r="I104" s="156"/>
      <c r="J104" s="156"/>
      <c r="K104" s="156"/>
      <c r="L104" s="4"/>
    </row>
    <row r="105" spans="2:12" ht="16.149999999999999" customHeight="1" x14ac:dyDescent="0.25">
      <c r="B105" s="4"/>
      <c r="C105" s="156"/>
      <c r="D105" s="156"/>
      <c r="E105" s="156"/>
      <c r="F105" s="156"/>
      <c r="G105" s="156"/>
      <c r="H105" s="156"/>
      <c r="I105" s="156"/>
      <c r="J105" s="156"/>
      <c r="K105" s="15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H74" sqref="H74:L7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46027</v>
      </c>
      <c r="E5" s="115"/>
      <c r="F5" s="116"/>
      <c r="G5" s="42"/>
      <c r="H5" s="59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0" t="str">
        <f>'İLAVE İS TUT.'!D7</f>
        <v>048</v>
      </c>
      <c r="E7" s="181"/>
      <c r="F7" s="182"/>
      <c r="G7" s="42"/>
      <c r="H7" s="59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59" t="s">
        <v>36</v>
      </c>
      <c r="I9" s="111">
        <f>'İLAVE İS TUT.'!I9</f>
        <v>0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4"/>
      <c r="C12" s="184"/>
      <c r="D12" s="184"/>
      <c r="E12" s="185"/>
      <c r="F12" s="185"/>
      <c r="G12" s="185"/>
      <c r="H12" s="185"/>
      <c r="I12" s="185"/>
      <c r="J12" s="185"/>
      <c r="K12" s="185"/>
      <c r="L12" s="185"/>
      <c r="M12" s="1"/>
    </row>
    <row r="13" spans="2:13" x14ac:dyDescent="0.25">
      <c r="B13" s="184"/>
      <c r="C13" s="184"/>
      <c r="D13" s="184"/>
      <c r="E13" s="185"/>
      <c r="F13" s="185"/>
      <c r="G13" s="185"/>
      <c r="H13" s="185"/>
      <c r="I13" s="185"/>
      <c r="J13" s="185"/>
      <c r="K13" s="185"/>
      <c r="L13" s="185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6"/>
      <c r="C15" s="186"/>
      <c r="D15" s="186"/>
      <c r="E15" s="61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86"/>
      <c r="C16" s="186"/>
      <c r="D16" s="186"/>
      <c r="E16" s="183"/>
      <c r="F16" s="183"/>
      <c r="G16" s="183"/>
      <c r="H16" s="183"/>
      <c r="I16" s="183"/>
      <c r="J16" s="183"/>
      <c r="K16" s="183"/>
      <c r="L16" s="183"/>
      <c r="M16" s="1"/>
    </row>
    <row r="17" spans="2:13" ht="25.9" customHeight="1" x14ac:dyDescent="0.25">
      <c r="B17" s="186"/>
      <c r="C17" s="186"/>
      <c r="D17" s="186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6"/>
      <c r="C18" s="186"/>
      <c r="D18" s="186"/>
      <c r="E18" s="183"/>
      <c r="F18" s="183"/>
      <c r="G18" s="183"/>
      <c r="H18" s="183"/>
      <c r="I18" s="183"/>
      <c r="J18" s="183"/>
      <c r="K18" s="183"/>
      <c r="L18" s="183"/>
      <c r="M18" s="1"/>
    </row>
    <row r="19" spans="2:13" ht="25.9" customHeight="1" x14ac:dyDescent="0.25">
      <c r="B19" s="186"/>
      <c r="C19" s="186"/>
      <c r="D19" s="186"/>
      <c r="E19" s="61"/>
      <c r="F19" s="61"/>
      <c r="G19" s="61"/>
      <c r="H19" s="61"/>
      <c r="I19" s="183"/>
      <c r="J19" s="183"/>
      <c r="K19" s="183"/>
      <c r="L19" s="61"/>
      <c r="M19" s="1"/>
    </row>
    <row r="20" spans="2:13" ht="4.1500000000000004" customHeight="1" x14ac:dyDescent="0.25">
      <c r="B20" s="186"/>
      <c r="C20" s="186"/>
      <c r="D20" s="186"/>
      <c r="E20" s="183"/>
      <c r="F20" s="183"/>
      <c r="G20" s="183"/>
      <c r="H20" s="183"/>
      <c r="I20" s="183"/>
      <c r="J20" s="183"/>
      <c r="K20" s="183"/>
      <c r="L20" s="183"/>
      <c r="M20" s="1"/>
    </row>
    <row r="21" spans="2:13" ht="25.9" customHeight="1" x14ac:dyDescent="0.25">
      <c r="B21" s="186"/>
      <c r="C21" s="186"/>
      <c r="D21" s="186"/>
      <c r="E21" s="61"/>
      <c r="F21" s="61"/>
      <c r="G21" s="61"/>
      <c r="H21" s="61"/>
      <c r="I21" s="183"/>
      <c r="J21" s="183"/>
      <c r="K21" s="183"/>
      <c r="L21" s="61"/>
      <c r="M21" s="1"/>
    </row>
    <row r="22" spans="2:13" ht="4.1500000000000004" customHeight="1" x14ac:dyDescent="0.25">
      <c r="B22" s="186"/>
      <c r="C22" s="186"/>
      <c r="D22" s="186"/>
      <c r="E22" s="183"/>
      <c r="F22" s="183"/>
      <c r="G22" s="183"/>
      <c r="H22" s="183"/>
      <c r="I22" s="183"/>
      <c r="J22" s="183"/>
      <c r="K22" s="183"/>
      <c r="L22" s="183"/>
      <c r="M22" s="1"/>
    </row>
    <row r="23" spans="2:13" ht="25.9" customHeight="1" x14ac:dyDescent="0.25">
      <c r="B23" s="186"/>
      <c r="C23" s="186"/>
      <c r="D23" s="186"/>
      <c r="E23" s="61"/>
      <c r="F23" s="185"/>
      <c r="G23" s="185"/>
      <c r="H23" s="185"/>
      <c r="I23" s="183"/>
      <c r="J23" s="183"/>
      <c r="K23" s="183"/>
      <c r="L23" s="61"/>
      <c r="M23" s="1"/>
    </row>
    <row r="24" spans="2:13" ht="4.1500000000000004" customHeight="1" x14ac:dyDescent="0.25">
      <c r="B24" s="186"/>
      <c r="C24" s="186"/>
      <c r="D24" s="186"/>
      <c r="E24" s="183"/>
      <c r="F24" s="183"/>
      <c r="G24" s="183"/>
      <c r="H24" s="183"/>
      <c r="I24" s="183"/>
      <c r="J24" s="183"/>
      <c r="K24" s="183"/>
      <c r="L24" s="183"/>
      <c r="M24" s="1"/>
    </row>
    <row r="25" spans="2:13" ht="25.9" customHeight="1" x14ac:dyDescent="0.25">
      <c r="B25" s="186"/>
      <c r="C25" s="186"/>
      <c r="D25" s="186"/>
      <c r="E25" s="61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63"/>
      <c r="C26" s="63"/>
      <c r="D26" s="63"/>
      <c r="E26" s="183"/>
      <c r="F26" s="183"/>
      <c r="G26" s="183"/>
      <c r="H26" s="183"/>
      <c r="I26" s="183"/>
      <c r="J26" s="183"/>
      <c r="K26" s="183"/>
      <c r="L26" s="183"/>
      <c r="M26" s="1"/>
    </row>
    <row r="27" spans="2:13" x14ac:dyDescent="0.25">
      <c r="B27" s="186"/>
      <c r="C27" s="186"/>
      <c r="D27" s="186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6"/>
      <c r="C28" s="186"/>
      <c r="D28" s="186"/>
      <c r="E28" s="185"/>
      <c r="F28" s="185"/>
      <c r="G28" s="185"/>
      <c r="H28" s="185"/>
      <c r="I28" s="185"/>
      <c r="J28" s="185"/>
      <c r="K28" s="185"/>
      <c r="L28" s="185"/>
      <c r="M28" s="1"/>
    </row>
    <row r="29" spans="2:13" x14ac:dyDescent="0.25">
      <c r="B29" s="186"/>
      <c r="C29" s="186"/>
      <c r="D29" s="186"/>
      <c r="E29" s="185"/>
      <c r="F29" s="185"/>
      <c r="G29" s="185"/>
      <c r="H29" s="185"/>
      <c r="I29" s="185"/>
      <c r="J29" s="185"/>
      <c r="K29" s="185"/>
      <c r="L29" s="185"/>
      <c r="M29" s="1"/>
    </row>
    <row r="30" spans="2:13" x14ac:dyDescent="0.25">
      <c r="B30" s="186"/>
      <c r="C30" s="186"/>
      <c r="D30" s="186"/>
      <c r="E30" s="185"/>
      <c r="F30" s="185"/>
      <c r="G30" s="185"/>
      <c r="H30" s="185"/>
      <c r="I30" s="185"/>
      <c r="J30" s="185"/>
      <c r="K30" s="185"/>
      <c r="L30" s="185"/>
      <c r="M30" s="1"/>
    </row>
    <row r="31" spans="2:13" x14ac:dyDescent="0.25">
      <c r="B31" s="186"/>
      <c r="C31" s="186"/>
      <c r="D31" s="186"/>
      <c r="E31" s="185"/>
      <c r="F31" s="185"/>
      <c r="G31" s="185"/>
      <c r="H31" s="185"/>
      <c r="I31" s="185"/>
      <c r="J31" s="185"/>
      <c r="K31" s="185"/>
      <c r="L31" s="185"/>
      <c r="M31" s="1"/>
    </row>
    <row r="32" spans="2:13" x14ac:dyDescent="0.25">
      <c r="B32" s="186"/>
      <c r="C32" s="186"/>
      <c r="D32" s="186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6"/>
      <c r="C33" s="186"/>
      <c r="D33" s="186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6"/>
      <c r="C34" s="186"/>
      <c r="D34" s="186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6"/>
      <c r="C35" s="186"/>
      <c r="D35" s="186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6"/>
      <c r="C36" s="186"/>
      <c r="D36" s="186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0"/>
      <c r="I41" s="190"/>
      <c r="J41" s="190"/>
      <c r="K41" s="190"/>
      <c r="L41" s="190"/>
    </row>
    <row r="42" spans="2:13" ht="25.15" customHeight="1" x14ac:dyDescent="0.25">
      <c r="B42" s="79"/>
      <c r="C42" s="68"/>
      <c r="D42" s="79"/>
      <c r="E42" s="79"/>
      <c r="F42" s="79"/>
      <c r="G42" s="79"/>
      <c r="H42" s="190"/>
      <c r="I42" s="190"/>
      <c r="J42" s="190"/>
      <c r="K42" s="190"/>
      <c r="L42" s="190"/>
    </row>
    <row r="43" spans="2:13" ht="25.15" customHeight="1" x14ac:dyDescent="0.25">
      <c r="B43" s="69"/>
      <c r="C43" s="191"/>
      <c r="D43" s="191"/>
      <c r="E43" s="70"/>
      <c r="F43" s="80"/>
      <c r="G43" s="80"/>
      <c r="H43" s="192"/>
      <c r="I43" s="192"/>
      <c r="J43" s="193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2"/>
      <c r="I44" s="192"/>
      <c r="J44" s="193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2"/>
      <c r="I45" s="192"/>
      <c r="J45" s="193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3"/>
      <c r="I46" s="191"/>
      <c r="J46" s="193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9"/>
      <c r="C49" s="68"/>
      <c r="D49" s="79"/>
      <c r="E49" s="79"/>
      <c r="F49" s="79"/>
      <c r="G49" s="79"/>
      <c r="H49" s="190"/>
      <c r="I49" s="190"/>
      <c r="J49" s="190"/>
      <c r="K49" s="190"/>
      <c r="L49" s="190"/>
    </row>
    <row r="50" spans="2:12" ht="25.15" customHeight="1" x14ac:dyDescent="0.25">
      <c r="B50" s="79"/>
      <c r="C50" s="68"/>
      <c r="D50" s="79"/>
      <c r="E50" s="79"/>
      <c r="F50" s="79"/>
      <c r="G50" s="79"/>
      <c r="H50" s="190"/>
      <c r="I50" s="190"/>
      <c r="J50" s="190"/>
      <c r="K50" s="190"/>
      <c r="L50" s="190"/>
    </row>
    <row r="51" spans="2:12" ht="25.15" customHeight="1" x14ac:dyDescent="0.25">
      <c r="B51" s="69"/>
      <c r="C51" s="191"/>
      <c r="D51" s="191"/>
      <c r="E51" s="71"/>
      <c r="F51" s="80"/>
      <c r="G51" s="80"/>
      <c r="H51" s="193"/>
      <c r="I51" s="191"/>
      <c r="J51" s="193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3"/>
      <c r="I52" s="191"/>
      <c r="J52" s="193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3"/>
      <c r="I53" s="191"/>
      <c r="J53" s="193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3"/>
      <c r="I54" s="191"/>
      <c r="J54" s="193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6"/>
      <c r="G61" s="197"/>
      <c r="H61" s="19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7"/>
      <c r="G62" s="197"/>
      <c r="H62" s="19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6"/>
      <c r="G63" s="197"/>
      <c r="H63" s="19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7"/>
      <c r="G64" s="197"/>
      <c r="H64" s="19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5"/>
      <c r="J74" s="205"/>
      <c r="K74" s="205"/>
      <c r="L74" s="205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5"/>
      <c r="J75" s="205"/>
      <c r="K75" s="205"/>
      <c r="L75" s="205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3"/>
      <c r="D83" s="203"/>
      <c r="E83" s="203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3"/>
      <c r="D84" s="203"/>
      <c r="E84" s="203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3"/>
      <c r="D86" s="203"/>
      <c r="E86" s="203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3"/>
      <c r="D87" s="203"/>
      <c r="E87" s="203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3"/>
      <c r="D93" s="203"/>
      <c r="E93" s="203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3"/>
      <c r="D94" s="203"/>
      <c r="E94" s="203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3"/>
      <c r="D96" s="203"/>
      <c r="E96" s="203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3"/>
      <c r="D97" s="203"/>
      <c r="E97" s="203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4"/>
      <c r="D102" s="204"/>
      <c r="E102" s="204"/>
      <c r="F102" s="204"/>
      <c r="G102" s="204"/>
      <c r="H102" s="204"/>
      <c r="I102" s="204"/>
      <c r="J102" s="204"/>
      <c r="K102" s="204"/>
      <c r="L102" s="73"/>
    </row>
    <row r="103" spans="2:12" ht="16.149999999999999" customHeight="1" x14ac:dyDescent="0.25">
      <c r="B103" s="73"/>
      <c r="C103" s="204"/>
      <c r="D103" s="204"/>
      <c r="E103" s="204"/>
      <c r="F103" s="204"/>
      <c r="G103" s="204"/>
      <c r="H103" s="204"/>
      <c r="I103" s="204"/>
      <c r="J103" s="204"/>
      <c r="K103" s="204"/>
      <c r="L103" s="73"/>
    </row>
    <row r="104" spans="2:12" ht="16.149999999999999" customHeight="1" x14ac:dyDescent="0.25">
      <c r="B104" s="73"/>
      <c r="C104" s="204"/>
      <c r="D104" s="204"/>
      <c r="E104" s="204"/>
      <c r="F104" s="204"/>
      <c r="G104" s="204"/>
      <c r="H104" s="204"/>
      <c r="I104" s="204"/>
      <c r="J104" s="204"/>
      <c r="K104" s="204"/>
      <c r="L104" s="73"/>
    </row>
    <row r="105" spans="2:12" ht="16.149999999999999" customHeight="1" x14ac:dyDescent="0.25">
      <c r="B105" s="73"/>
      <c r="C105" s="204"/>
      <c r="D105" s="204"/>
      <c r="E105" s="204"/>
      <c r="F105" s="204"/>
      <c r="G105" s="204"/>
      <c r="H105" s="204"/>
      <c r="I105" s="204"/>
      <c r="J105" s="204"/>
      <c r="K105" s="204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2026-03-14T10:28:30Z</cp:lastPrinted>
  <dcterms:created xsi:type="dcterms:W3CDTF">2014-05-26T07:40:11Z</dcterms:created>
  <dcterms:modified xsi:type="dcterms:W3CDTF">2026-03-14T10:28:33Z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