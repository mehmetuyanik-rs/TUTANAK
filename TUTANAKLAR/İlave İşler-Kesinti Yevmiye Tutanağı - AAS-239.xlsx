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EDFFFC5-24FF-4A70-8A78-C2075BF9EC5C}" xr6:coauthVersionLast="47" xr6:coauthVersionMax="47" xr10:uidLastSave="{00000000-0000-0000-0000-000000000000}"/>
  <bookViews>
    <workbookView xWindow="37710" yWindow="415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<sst xmlns="http://schemas.openxmlformats.org/spreadsheetml/2006/main" count="110" uniqueCount="92">
  <si>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</si>
  <si>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</si>
  <si>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</si>
  <si>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</si>
  <si>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</si>
  <si>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</si>
  <si>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</si>
  <si>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</si>
  <si>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</si>
  <si>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</si>
  <si>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</si>
  <si>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</si>
  <si>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</si>
  <si>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</si>
  <si>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</si>
  <si>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</si>
  <si>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</si>
  <si>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</si>
  <si>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</si>
  <si>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</si>
  <si>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</si>
  <si>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</si>
  <si>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</si>
  <si>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</si>
  <si>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</si>
  <si>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</si>
  <si>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</si>
  <si>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</si>
  <si>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</si>
  <si>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</si>
  <si>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</si>
  <si>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</si>
  <si>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</si>
  <si>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</si>
  <si>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</si>
  <si>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</si>
  <si>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</si>
  <si>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</si>
  <si>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</si>
  <si>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</si>
  <si>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</si>
  <si>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</si>
  <si>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</si>
  <si>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</si>
  <si>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</si>
  <si>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</si>
  <si>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</si>
  <si>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</si>
  <si>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</si>
  <si>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</si>
  <si>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</si>
  <si>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</si>
  <si>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</si>
  <si>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</si>
  <si>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</si>
  <si>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</si>
  <si>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</si>
  <si>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</si>
  <si>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</si>
  <si>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</si>
  <si>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</si>
  <si>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</si>
  <si>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</si>
  <si>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</si>
  <si>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</si>
  <si>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</si>
  <si>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</si>
  <si>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</si>
  <si>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</si>
  <si>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</si>
  <si>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</si>
  <si>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</si>
  <si>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</si>
  <si>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</si>
  <si>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</si>
  <si>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</si>
  <si>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</si>
  <si>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</si>
  <si>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</si>
  <si>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</si>
  <si>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</si>
  <si>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</si>
  <si>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</si>
  <si>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</si>
  <si>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</si>
  <si>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M2</t>
  </si>
  <si>
    <t>İSA ÇİFTÇİ(USTA YARDIMCISI)</t>
  </si>
  <si>
    <t>MUHAMMED ÇALAĞAN(USTA)</t>
  </si>
  <si>
    <t>FX ULTRA ALÇIPANEL</t>
  </si>
  <si>
    <t>239</t>
  </si>
  <si>
    <t>C5 / 0.20</t>
  </si>
  <si>
    <t>C5 Blok 0.20 kotu vatandaşlık koridorunda, mekanik biriminin testi sırasında alçıpan duvarlar ıslanmıştır. Hasar gören alçıpan duvarlar sökülerek gerekli düzeltmeler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</si>
</sst>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1857375</xdr:colOff>
      <xdr:row>10</xdr:row>
      <xdr:rowOff>1</xdr:rowOff>
    </xdr:from>
    <xdr:to>
      <xdr:col>9</xdr:col>
      <xdr:colOff>114300</xdr:colOff>
      <xdr:row>52</xdr:row>
      <xdr:rowOff>80963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5E80C19B-0B2B-4824-A338-85CADBB20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2619376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1912125</xdr:colOff>
      <xdr:row>53</xdr:row>
      <xdr:rowOff>221439</xdr:rowOff>
    </xdr:from>
    <xdr:to>
      <xdr:col>9</xdr:col>
      <xdr:colOff>169050</xdr:colOff>
      <xdr:row>102</xdr:row>
      <xdr:rowOff>88089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CBC70C63-AAD2-47AB-ACA4-D22E08522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1875" y="13127814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topLeftCell="A13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46246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89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90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91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87</v>
      </c>
      <c r="D43" s="88"/>
      <c r="E43" s="73">
        <f t="shared" ref="E43:E44" si="0">+$D$5</f>
        <v>46246</v>
      </c>
      <c r="F43" s="74" t="s">
        <v>82</v>
      </c>
      <c r="G43" s="74">
        <v>1</v>
      </c>
      <c r="H43" s="86">
        <v>4126.4799999999996</v>
      </c>
      <c r="I43" s="86"/>
      <c r="J43" s="168">
        <f>+H43*G43</f>
        <v>4126.4799999999996</v>
      </c>
      <c r="K43" s="168"/>
      <c r="L43" s="169"/>
    </row>
    <row r="44" spans="2:13" ht="25.15" customHeight="1" x14ac:dyDescent="0.25">
      <c r="B44" s="2">
        <v>2</v>
      </c>
      <c r="C44" s="165" t="s">
        <v>86</v>
      </c>
      <c r="D44" s="166"/>
      <c r="E44" s="73">
        <f t="shared" si="0"/>
        <v>46246</v>
      </c>
      <c r="F44" s="74" t="s">
        <v>82</v>
      </c>
      <c r="G44" s="74">
        <v>1</v>
      </c>
      <c r="H44" s="86">
        <v>2851.48</v>
      </c>
      <c r="I44" s="86"/>
      <c r="J44" s="168">
        <f t="shared" ref="J44:J60" si="1">+H44*G44</f>
        <v>2851.48</v>
      </c>
      <c r="K44" s="168"/>
      <c r="L44" s="169"/>
    </row>
    <row r="45" spans="2:13" ht="25.15" customHeight="1" x14ac:dyDescent="0.25">
      <c r="B45" s="2">
        <v>3</v>
      </c>
      <c r="C45" s="165"/>
      <c r="D45" s="166"/>
      <c r="E45" s="73"/>
      <c r="F45" s="75"/>
      <c r="G45" s="75"/>
      <c r="H45" s="86"/>
      <c r="I45" s="86"/>
      <c r="J45" s="168">
        <f t="shared" si="1"/>
        <v>0</v>
      </c>
      <c r="K45" s="168"/>
      <c r="L45" s="169"/>
    </row>
    <row r="46" spans="2:13" ht="25.15" customHeight="1" x14ac:dyDescent="0.25">
      <c r="B46" s="2">
        <v>4</v>
      </c>
      <c r="C46" s="165"/>
      <c r="D46" s="166"/>
      <c r="E46" s="73"/>
      <c r="F46" s="76"/>
      <c r="G46" s="76"/>
      <c r="H46" s="86"/>
      <c r="I46" s="86"/>
      <c r="J46" s="168">
        <f t="shared" ref="J46:J52" si="2">+H46*G46</f>
        <v>0</v>
      </c>
      <c r="K46" s="168"/>
      <c r="L46" s="169"/>
    </row>
    <row r="47" spans="2:13" ht="25.15" customHeight="1" x14ac:dyDescent="0.25">
      <c r="B47" s="2">
        <v>5</v>
      </c>
      <c r="C47" s="165"/>
      <c r="D47" s="166"/>
      <c r="E47" s="73"/>
      <c r="F47" s="76"/>
      <c r="G47" s="76"/>
      <c r="H47" s="86"/>
      <c r="I47" s="86"/>
      <c r="J47" s="168">
        <f t="shared" si="2"/>
        <v>0</v>
      </c>
      <c r="K47" s="168"/>
      <c r="L47" s="169"/>
    </row>
    <row r="48" spans="2:13" ht="25.15" customHeight="1" x14ac:dyDescent="0.25">
      <c r="B48" s="2">
        <v>6</v>
      </c>
      <c r="C48" s="165"/>
      <c r="D48" s="166"/>
      <c r="E48" s="73"/>
      <c r="F48" s="77"/>
      <c r="G48" s="77"/>
      <c r="H48" s="86"/>
      <c r="I48" s="86"/>
      <c r="J48" s="168">
        <f t="shared" ref="J48:J50" si="3">+H48*G48</f>
        <v>0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7"/>
      <c r="G49" s="77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7"/>
      <c r="G50" s="77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7"/>
      <c r="G51" s="77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7"/>
      <c r="G52" s="77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70">
        <f>+SUM(J43:L52)</f>
        <v>6977.9599999999991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88</v>
      </c>
      <c r="D56" s="163"/>
      <c r="E56" s="73">
        <f>+E43</f>
        <v>46246</v>
      </c>
      <c r="F56" s="48" t="s">
        <v>85</v>
      </c>
      <c r="G56" s="48">
        <v>15</v>
      </c>
      <c r="H56" s="167"/>
      <c r="I56" s="163"/>
      <c r="J56" s="167">
        <f t="shared" si="1"/>
        <v>0</v>
      </c>
      <c r="K56" s="163"/>
      <c r="L56" s="173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7"/>
      <c r="I57" s="163"/>
      <c r="J57" s="167">
        <f t="shared" si="1"/>
        <v>0</v>
      </c>
      <c r="K57" s="163"/>
      <c r="L57" s="173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7"/>
      <c r="I58" s="163"/>
      <c r="J58" s="167">
        <f t="shared" si="1"/>
        <v>0</v>
      </c>
      <c r="K58" s="163"/>
      <c r="L58" s="173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7"/>
      <c r="I59" s="163"/>
      <c r="J59" s="167">
        <f t="shared" si="1"/>
        <v>0</v>
      </c>
      <c r="K59" s="163"/>
      <c r="L59" s="173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7"/>
      <c r="I60" s="163"/>
      <c r="J60" s="167">
        <f t="shared" si="1"/>
        <v>0</v>
      </c>
      <c r="K60" s="163"/>
      <c r="L60" s="173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70">
        <f>+SUM(J56:L60)</f>
        <v>0</v>
      </c>
      <c r="K61" s="171"/>
      <c r="L61" s="172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70">
        <f>+J61+J53</f>
        <v>6977.9599999999991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I71" sqref="I71:L7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46246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239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C5 / 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2026-08-21T08:37:32Z</cp:lastPrinted>
  <dcterms:created xsi:type="dcterms:W3CDTF">2014-05-26T07:40:11Z</dcterms:created>
  <dcterms:modified xsi:type="dcterms:W3CDTF">2026-08-21T08:37:33Z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