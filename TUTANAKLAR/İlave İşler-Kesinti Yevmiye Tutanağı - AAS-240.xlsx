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9386621-442C-4788-9298-F3BDDA6B6264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<sst xmlns="http://schemas.openxmlformats.org/spreadsheetml/2006/main" count="108" uniqueCount="90">
  <si>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</si>
  <si>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</si>
  <si>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</si>
  <si>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</si>
  <si>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</si>
  <si>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</si>
  <si>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</si>
  <si>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</si>
  <si>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</si>
  <si>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</si>
  <si>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</si>
  <si>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</si>
  <si>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</si>
  <si>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</si>
  <si>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</si>
  <si>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</si>
  <si>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</si>
  <si>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</si>
  <si>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</si>
  <si>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</si>
  <si>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</si>
  <si>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</si>
  <si>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</si>
  <si>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</si>
  <si>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</si>
  <si>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</si>
  <si>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</si>
  <si>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</si>
  <si>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</si>
  <si>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</si>
  <si>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</si>
  <si>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</si>
  <si>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</si>
  <si>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</si>
  <si>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</si>
  <si>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</si>
  <si>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</si>
  <si>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</si>
  <si>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</si>
  <si>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</si>
  <si>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</si>
  <si>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</si>
  <si>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</si>
  <si>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</si>
  <si>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</si>
  <si>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</si>
  <si>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</si>
  <si>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</si>
  <si>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</si>
  <si>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</si>
  <si>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</si>
  <si>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</si>
  <si>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</si>
  <si>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</si>
  <si>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</si>
  <si>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</si>
  <si>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</si>
  <si>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</si>
  <si>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</si>
  <si>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</si>
  <si>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</si>
  <si>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</si>
  <si>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</si>
  <si>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</si>
  <si>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</si>
  <si>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</si>
  <si>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</si>
  <si>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</si>
  <si>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</si>
  <si>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</si>
  <si>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</si>
  <si>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</si>
  <si>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</si>
  <si>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</si>
  <si>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</si>
  <si>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</si>
  <si>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</si>
  <si>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</si>
  <si>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</si>
  <si>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</si>
  <si>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</si>
  <si>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</si>
  <si>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</si>
  <si>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</si>
  <si>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</si>
  <si>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240</t>
  </si>
  <si>
    <t>C5 / 10.20</t>
  </si>
  <si>
    <t xml:space="preserve">C5 Blok 10.20 kotu, menfez güçlendirmeleri kiriş altına denk geldiğinden montaj yapılamadığı için güçlendirmeler kaydırılmıştır. </t>
  </si>
  <si>
    <t>VEDAT GÜNEN(USTA)</t>
  </si>
  <si>
    <t>ÖZGÜR GÜNEN(USTA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</si>
</sst>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285750</xdr:colOff>
      <xdr:row>12</xdr:row>
      <xdr:rowOff>95250</xdr:rowOff>
    </xdr:from>
    <xdr:to>
      <xdr:col>6</xdr:col>
      <xdr:colOff>38100</xdr:colOff>
      <xdr:row>53</xdr:row>
      <xdr:rowOff>128588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07D176D-52A3-4F7C-BE6F-4CAB43F3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97656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292875</xdr:colOff>
      <xdr:row>54</xdr:row>
      <xdr:rowOff>7124</xdr:rowOff>
    </xdr:from>
    <xdr:to>
      <xdr:col>6</xdr:col>
      <xdr:colOff>45225</xdr:colOff>
      <xdr:row>102</xdr:row>
      <xdr:rowOff>183337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97BEA146-12FB-4441-BD42-22C4AD7B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625" y="13223062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133313</xdr:colOff>
      <xdr:row>12</xdr:row>
      <xdr:rowOff>61874</xdr:rowOff>
    </xdr:from>
    <xdr:to>
      <xdr:col>10</xdr:col>
      <xdr:colOff>1338225</xdr:colOff>
      <xdr:row>53</xdr:row>
      <xdr:rowOff>95212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BDED120A-A706-40DC-9535-03B8431BD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063" y="2943187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46254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86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87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44" si="0">+$D$5</f>
        <v>46254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101" t="s">
        <v>89</v>
      </c>
      <c r="D44" s="102"/>
      <c r="E44" s="73">
        <f t="shared" si="0"/>
        <v>46254</v>
      </c>
      <c r="F44" s="74" t="s">
        <v>82</v>
      </c>
      <c r="G44" s="74">
        <v>1</v>
      </c>
      <c r="H44" s="96">
        <v>2851.48</v>
      </c>
      <c r="I44" s="96"/>
      <c r="J44" s="94">
        <f t="shared" ref="J44:J60" si="1">+H44*G44</f>
        <v>2851.48</v>
      </c>
      <c r="K44" s="94"/>
      <c r="L44" s="95"/>
    </row>
    <row r="45" spans="2:13" ht="25.15" customHeight="1" x14ac:dyDescent="0.25">
      <c r="B45" s="2">
        <v>3</v>
      </c>
      <c r="C45" s="101"/>
      <c r="D45" s="102"/>
      <c r="E45" s="73"/>
      <c r="F45" s="75"/>
      <c r="G45" s="75"/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101"/>
      <c r="D46" s="102"/>
      <c r="E46" s="73"/>
      <c r="F46" s="76"/>
      <c r="G46" s="76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101"/>
      <c r="D47" s="102"/>
      <c r="E47" s="73"/>
      <c r="F47" s="76"/>
      <c r="G47" s="76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101"/>
      <c r="D48" s="102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7"/>
      <c r="G51" s="77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7"/>
      <c r="G52" s="77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6977.9599999999991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6977.9599999999991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75" sqref="H7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46254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240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C5 / 10.20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2026-08-21T10:43:59Z</cp:lastPrinted>
  <dcterms:created xsi:type="dcterms:W3CDTF">2014-05-26T07:40:11Z</dcterms:created>
  <dcterms:modified xsi:type="dcterms:W3CDTF">2026-08-21T10:44:01Z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