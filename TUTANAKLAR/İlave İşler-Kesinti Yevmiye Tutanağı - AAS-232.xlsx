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8417B36-92AC-4EDB-B057-C6227CE077C9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<sst xmlns="http://schemas.openxmlformats.org/spreadsheetml/2006/main" count="114" uniqueCount="94">
  <si>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</si>
  <si>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</si>
  <si>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</si>
  <si>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</si>
  <si>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</si>
  <si>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</si>
  <si>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</si>
  <si>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</si>
  <si>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</si>
  <si>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</si>
  <si>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</si>
  <si>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</si>
  <si>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</si>
  <si>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</si>
  <si>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</si>
  <si>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</si>
  <si>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</si>
  <si>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</si>
  <si>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</si>
  <si>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</si>
  <si>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</si>
  <si>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</si>
  <si>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</si>
  <si>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</si>
  <si>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</si>
  <si>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</si>
  <si>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</si>
  <si>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</si>
  <si>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</si>
  <si>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</si>
  <si>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</si>
  <si>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</si>
  <si>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</si>
  <si>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</si>
  <si>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</si>
  <si>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</si>
  <si>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</si>
  <si>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</si>
  <si>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</si>
  <si>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</si>
  <si>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</si>
  <si>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</si>
  <si>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</si>
  <si>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</si>
  <si>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</si>
  <si>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</si>
  <si>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</si>
  <si>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</si>
  <si>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</si>
  <si>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</si>
  <si>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</si>
  <si>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</si>
  <si>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</si>
  <si>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</si>
  <si>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</si>
  <si>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</si>
  <si>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</si>
  <si>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</si>
  <si>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</si>
  <si>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</si>
  <si>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</si>
  <si>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</si>
  <si>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</si>
  <si>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</si>
  <si>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</si>
  <si>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</si>
  <si>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</si>
  <si>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</si>
  <si>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</si>
  <si>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</si>
  <si>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</si>
  <si>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</si>
  <si>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</si>
  <si>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</si>
  <si>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</si>
  <si>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</si>
  <si>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</si>
  <si>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</si>
  <si>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</si>
  <si>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</si>
  <si>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</si>
  <si>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</si>
  <si>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</si>
  <si>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</si>
  <si>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</si>
  <si>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M2</t>
  </si>
  <si>
    <t>232</t>
  </si>
  <si>
    <t>C7 / -4.80</t>
  </si>
  <si>
    <t>ALİ BİÇER(USTA)</t>
  </si>
  <si>
    <t>BARIŞ ÇELİK(USTA)</t>
  </si>
  <si>
    <t>EROL TUNA(USTA YARDIMCISI)</t>
  </si>
  <si>
    <t>HİKMET DENİZ(USTA YARDIMCISI)</t>
  </si>
  <si>
    <t>15 lik gazbeton</t>
  </si>
  <si>
    <t>C7 Blok -4.80 kotunda, hasar gören gazbeton duvar sökülerek gerekli düzeltmeler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</si>
</sst>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833437</xdr:colOff>
      <xdr:row>14</xdr:row>
      <xdr:rowOff>142876</xdr:rowOff>
    </xdr:from>
    <xdr:to>
      <xdr:col>10</xdr:col>
      <xdr:colOff>705444</xdr:colOff>
      <xdr:row>95</xdr:row>
      <xdr:rowOff>47625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AD75276-D54A-4390-A7E1-5402FCFE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187" y="3286126"/>
          <a:ext cx="10420945" cy="1852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86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93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88</v>
      </c>
      <c r="D43" s="88"/>
      <c r="E43" s="73">
        <f t="shared" ref="E43:E48" si="0">+$D$5</f>
        <v>46233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89</v>
      </c>
      <c r="D44" s="88"/>
      <c r="E44" s="73">
        <f t="shared" si="0"/>
        <v>46233</v>
      </c>
      <c r="F44" s="74" t="s">
        <v>82</v>
      </c>
      <c r="G44" s="74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90</v>
      </c>
      <c r="D45" s="167"/>
      <c r="E45" s="73">
        <f t="shared" si="0"/>
        <v>46233</v>
      </c>
      <c r="F45" s="75" t="s">
        <v>82</v>
      </c>
      <c r="G45" s="75">
        <v>1</v>
      </c>
      <c r="H45" s="86">
        <v>2851.48</v>
      </c>
      <c r="I45" s="86"/>
      <c r="J45" s="168">
        <f t="shared" si="1"/>
        <v>2851.48</v>
      </c>
      <c r="K45" s="168"/>
      <c r="L45" s="169"/>
    </row>
    <row r="46" spans="2:13" ht="25.15" customHeight="1" x14ac:dyDescent="0.25">
      <c r="B46" s="2">
        <v>4</v>
      </c>
      <c r="C46" s="166" t="s">
        <v>91</v>
      </c>
      <c r="D46" s="167"/>
      <c r="E46" s="73">
        <f t="shared" si="0"/>
        <v>46233</v>
      </c>
      <c r="F46" s="76" t="s">
        <v>82</v>
      </c>
      <c r="G46" s="76">
        <v>1</v>
      </c>
      <c r="H46" s="86">
        <v>2851.48</v>
      </c>
      <c r="I46" s="86"/>
      <c r="J46" s="168">
        <f t="shared" ref="J46:J52" si="2">+H46*G46</f>
        <v>2851.48</v>
      </c>
      <c r="K46" s="168"/>
      <c r="L46" s="169"/>
    </row>
    <row r="47" spans="2:13" ht="25.15" customHeight="1" x14ac:dyDescent="0.25">
      <c r="B47" s="2">
        <v>5</v>
      </c>
      <c r="C47" s="166"/>
      <c r="D47" s="167"/>
      <c r="E47" s="73"/>
      <c r="F47" s="76"/>
      <c r="G47" s="76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6"/>
      <c r="D48" s="167"/>
      <c r="E48" s="73"/>
      <c r="F48" s="77"/>
      <c r="G48" s="77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13955.919999999998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92</v>
      </c>
      <c r="D56" s="163"/>
      <c r="E56" s="73">
        <f>+E43</f>
        <v>46233</v>
      </c>
      <c r="F56" s="48" t="s">
        <v>85</v>
      </c>
      <c r="G56" s="48">
        <v>8.5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13955.919999999998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P57" sqref="P5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232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C7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2026-08-21T07:07:17Z</cp:lastPrinted>
  <dcterms:created xsi:type="dcterms:W3CDTF">2014-05-26T07:40:11Z</dcterms:created>
  <dcterms:modified xsi:type="dcterms:W3CDTF">2026-08-21T07:07:20Z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