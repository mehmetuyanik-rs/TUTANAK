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E1D6B85-F1F2-44B4-9FC1-033872490A02}" xr6:coauthVersionLast="47" xr6:coauthVersionMax="47" xr10:uidLastSave="{00000000-0000-0000-0000-000000000000}"/>
  <bookViews>
    <workbookView xWindow="38055" yWindow="450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<sst xmlns="http://schemas.openxmlformats.org/spreadsheetml/2006/main" count="118" uniqueCount="96">
  <si>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</si>
  <si>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</si>
  <si>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</si>
  <si>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</si>
  <si>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</si>
  <si>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</si>
  <si>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</si>
  <si>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</si>
  <si>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</si>
  <si>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</si>
  <si>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</si>
  <si>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</si>
  <si>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</si>
  <si>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</si>
  <si>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</si>
  <si>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</si>
  <si>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</si>
  <si>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</si>
  <si>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</si>
  <si>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</si>
  <si>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</si>
  <si>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</si>
  <si>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</si>
  <si>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</si>
  <si>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</si>
  <si>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</si>
  <si>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</si>
  <si>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</si>
  <si>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</si>
  <si>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</si>
  <si>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</si>
  <si>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</si>
  <si>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</si>
  <si>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</si>
  <si>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</si>
  <si>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</si>
  <si>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</si>
  <si>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</si>
  <si>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</si>
  <si>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</si>
  <si>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</si>
  <si>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</si>
  <si>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</si>
  <si>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</si>
  <si>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</si>
  <si>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</si>
  <si>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</si>
  <si>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</si>
  <si>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</si>
  <si>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</si>
  <si>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</si>
  <si>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</si>
  <si>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</si>
  <si>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</si>
  <si>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</si>
  <si>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</si>
  <si>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</si>
  <si>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</si>
  <si>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</si>
  <si>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</si>
  <si>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</si>
  <si>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</si>
  <si>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</si>
  <si>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</si>
  <si>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</si>
  <si>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</si>
  <si>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</si>
  <si>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</si>
  <si>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</si>
  <si>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</si>
  <si>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</si>
  <si>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</si>
  <si>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</si>
  <si>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</si>
  <si>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</si>
  <si>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</si>
  <si>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</si>
  <si>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</si>
  <si>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</si>
  <si>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</si>
  <si>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</si>
  <si>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</si>
  <si>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</si>
  <si>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</si>
  <si>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</si>
  <si>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</si>
  <si>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</si>
  <si>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</si>
  <si>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İSA ÇİFTÇİ(USTA YARDIMCISI)</t>
  </si>
  <si>
    <t>MURAT BOZMA(USTA YARDIMCISI)</t>
  </si>
  <si>
    <t>İBRAHİM MENCİK(USTA)</t>
  </si>
  <si>
    <t>MUHAMMED ÇALAĞAN(USTA)</t>
  </si>
  <si>
    <t>MEHMET SİNAN MENCİK(USTA)</t>
  </si>
  <si>
    <t>MESUT ÇERDİK(USTA YARDIMCISI)</t>
  </si>
  <si>
    <t>231</t>
  </si>
  <si>
    <t>C6 Blok -4.80 kotunda, hasar gören alçıpan duvarlar sökülerek gerekli düzeltmeler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</si>
</sst>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46" zoomScale="70" zoomScaleNormal="70" zoomScaleSheetLayoutView="70" workbookViewId="0">
      <selection activeCell="E49" sqref="E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94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95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91</v>
      </c>
      <c r="D43" s="88"/>
      <c r="E43" s="73">
        <f t="shared" ref="E43:E48" si="0">+$D$5</f>
        <v>46233</v>
      </c>
      <c r="F43" s="74" t="s">
        <v>82</v>
      </c>
      <c r="G43" s="74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92</v>
      </c>
      <c r="D44" s="88"/>
      <c r="E44" s="73">
        <f t="shared" si="0"/>
        <v>46233</v>
      </c>
      <c r="F44" s="74" t="s">
        <v>82</v>
      </c>
      <c r="G44" s="74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166" t="s">
        <v>90</v>
      </c>
      <c r="D45" s="167"/>
      <c r="E45" s="73">
        <f t="shared" si="0"/>
        <v>46233</v>
      </c>
      <c r="F45" s="75" t="s">
        <v>82</v>
      </c>
      <c r="G45" s="75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6" t="s">
        <v>89</v>
      </c>
      <c r="D46" s="167"/>
      <c r="E46" s="73">
        <f t="shared" si="0"/>
        <v>46233</v>
      </c>
      <c r="F46" s="76" t="s">
        <v>82</v>
      </c>
      <c r="G46" s="76">
        <v>1</v>
      </c>
      <c r="H46" s="86">
        <v>2851.48</v>
      </c>
      <c r="I46" s="86"/>
      <c r="J46" s="168">
        <f t="shared" ref="J46:J52" si="2">+H46*G46</f>
        <v>2851.48</v>
      </c>
      <c r="K46" s="168"/>
      <c r="L46" s="169"/>
    </row>
    <row r="47" spans="2:13" ht="25.15" customHeight="1" x14ac:dyDescent="0.25">
      <c r="B47" s="2">
        <v>5</v>
      </c>
      <c r="C47" s="166" t="s">
        <v>93</v>
      </c>
      <c r="D47" s="167"/>
      <c r="E47" s="73">
        <f t="shared" si="0"/>
        <v>46233</v>
      </c>
      <c r="F47" s="76" t="s">
        <v>82</v>
      </c>
      <c r="G47" s="76">
        <v>1</v>
      </c>
      <c r="H47" s="86">
        <v>2851.48</v>
      </c>
      <c r="I47" s="86"/>
      <c r="J47" s="168">
        <f t="shared" si="2"/>
        <v>2851.48</v>
      </c>
      <c r="K47" s="168"/>
      <c r="L47" s="169"/>
    </row>
    <row r="48" spans="2:13" ht="25.15" customHeight="1" x14ac:dyDescent="0.25">
      <c r="B48" s="2">
        <v>6</v>
      </c>
      <c r="C48" s="166" t="s">
        <v>88</v>
      </c>
      <c r="D48" s="167"/>
      <c r="E48" s="73">
        <f t="shared" si="0"/>
        <v>46233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7"/>
      <c r="G51" s="77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7"/>
      <c r="G52" s="77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20933.879999999997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46233</v>
      </c>
      <c r="F56" s="48" t="s">
        <v>86</v>
      </c>
      <c r="G56" s="48">
        <v>105.6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20933.879999999997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231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2026-08-21T07:02:52Z</cp:lastPrinted>
  <dcterms:created xsi:type="dcterms:W3CDTF">2014-05-26T07:40:11Z</dcterms:created>
  <dcterms:modified xsi:type="dcterms:W3CDTF">2026-08-21T07:02:56Z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