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A601C86-FED6-4805-BD15-66E904C28D61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7" i="1"/>
  <c r="E46" i="1"/>
  <c r="E45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<sst xmlns="http://schemas.openxmlformats.org/spreadsheetml/2006/main" count="116" uniqueCount="94">
  <si>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</si>
  <si>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</si>
  <si>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</si>
  <si>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</si>
  <si>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</si>
  <si>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</si>
  <si>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</si>
  <si>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</si>
  <si>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</si>
  <si>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</si>
  <si>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</si>
  <si>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</si>
  <si>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</si>
  <si>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</si>
  <si>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</si>
  <si>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</si>
  <si>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</si>
  <si>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</si>
  <si>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</si>
  <si>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</si>
  <si>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</si>
  <si>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</si>
  <si>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</si>
  <si>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</si>
  <si>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</si>
  <si>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</si>
  <si>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</si>
  <si>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</si>
  <si>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</si>
  <si>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</si>
  <si>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</si>
  <si>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</si>
  <si>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</si>
  <si>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</si>
  <si>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</si>
  <si>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</si>
  <si>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</si>
  <si>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</si>
  <si>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</si>
  <si>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</si>
  <si>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</si>
  <si>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</si>
  <si>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</si>
  <si>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</si>
  <si>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</si>
  <si>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</si>
  <si>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</si>
  <si>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</si>
  <si>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</si>
  <si>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</si>
  <si>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</si>
  <si>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</si>
  <si>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</si>
  <si>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</si>
  <si>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</si>
  <si>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</si>
  <si>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</si>
  <si>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</si>
  <si>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</si>
  <si>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</si>
  <si>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</si>
  <si>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</si>
  <si>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</si>
  <si>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</si>
  <si>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</si>
  <si>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</si>
  <si>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</si>
  <si>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</si>
  <si>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</si>
  <si>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</si>
  <si>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</si>
  <si>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</si>
  <si>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</si>
  <si>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</si>
  <si>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</si>
  <si>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</si>
  <si>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</si>
  <si>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</si>
  <si>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</si>
  <si>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</si>
  <si>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</si>
  <si>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</si>
  <si>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</si>
  <si>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</si>
  <si>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</si>
  <si>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247</t>
  </si>
  <si>
    <t xml:space="preserve">C3-C5 </t>
  </si>
  <si>
    <t>C3-C5 Bloklarda,pasif yangın durdurucu için duvarlarda daraltmalar yapılmıştır.</t>
  </si>
  <si>
    <t>OKAN ALBAYOĞLU (USTA)</t>
  </si>
  <si>
    <t>TANER ATMACA (USTA)</t>
  </si>
  <si>
    <t>MUHAMMED ÇELİK (USTA)</t>
  </si>
  <si>
    <t>AZAD DEMİR (USTA YARDIMCISI)</t>
  </si>
  <si>
    <t>SEMİH GÜNEY (USTA YARDIMCISI)</t>
  </si>
  <si>
    <t>MURAT SONGURAL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</si>
</sst>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D11" sqref="D11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46258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86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2" t="s">
        <v>88</v>
      </c>
      <c r="D43" s="163"/>
      <c r="E43" s="73">
        <f t="shared" ref="E43:E48" si="0">+$D$5</f>
        <v>46258</v>
      </c>
      <c r="F43" s="74" t="s">
        <v>82</v>
      </c>
      <c r="G43" s="74">
        <v>1</v>
      </c>
      <c r="H43" s="86"/>
      <c r="I43" s="86"/>
      <c r="J43" s="168">
        <f>+H43*G43</f>
        <v>0</v>
      </c>
      <c r="K43" s="168"/>
      <c r="L43" s="169"/>
    </row>
    <row r="44" spans="2:13" ht="25.15" customHeight="1" x14ac:dyDescent="0.25">
      <c r="B44" s="2">
        <v>2</v>
      </c>
      <c r="C44" s="162" t="s">
        <v>89</v>
      </c>
      <c r="D44" s="163"/>
      <c r="E44" s="73">
        <f t="shared" si="0"/>
        <v>46258</v>
      </c>
      <c r="F44" s="74" t="s">
        <v>82</v>
      </c>
      <c r="G44" s="74">
        <v>1</v>
      </c>
      <c r="H44" s="86"/>
      <c r="I44" s="86"/>
      <c r="J44" s="168">
        <f t="shared" ref="J44:J60" si="1">+H44*G44</f>
        <v>0</v>
      </c>
      <c r="K44" s="168"/>
      <c r="L44" s="169"/>
    </row>
    <row r="45" spans="2:13" ht="25.15" customHeight="1" x14ac:dyDescent="0.25">
      <c r="B45" s="2">
        <v>3</v>
      </c>
      <c r="C45" s="162" t="s">
        <v>90</v>
      </c>
      <c r="D45" s="163"/>
      <c r="E45" s="73">
        <f t="shared" si="0"/>
        <v>46258</v>
      </c>
      <c r="F45" s="76" t="s">
        <v>82</v>
      </c>
      <c r="G45" s="76">
        <v>1</v>
      </c>
      <c r="H45" s="86"/>
      <c r="I45" s="86"/>
      <c r="J45" s="168">
        <f t="shared" si="1"/>
        <v>0</v>
      </c>
      <c r="K45" s="168"/>
      <c r="L45" s="169"/>
    </row>
    <row r="46" spans="2:13" ht="25.15" customHeight="1" x14ac:dyDescent="0.25">
      <c r="B46" s="2">
        <v>4</v>
      </c>
      <c r="C46" s="162" t="s">
        <v>91</v>
      </c>
      <c r="D46" s="163"/>
      <c r="E46" s="73">
        <f t="shared" si="0"/>
        <v>46258</v>
      </c>
      <c r="F46" s="77" t="s">
        <v>82</v>
      </c>
      <c r="G46" s="77">
        <v>1</v>
      </c>
      <c r="H46" s="86"/>
      <c r="I46" s="86"/>
      <c r="J46" s="168">
        <f t="shared" ref="J46:J52" si="2">+H46*G46</f>
        <v>0</v>
      </c>
      <c r="K46" s="168"/>
      <c r="L46" s="169"/>
    </row>
    <row r="47" spans="2:13" ht="25.15" customHeight="1" x14ac:dyDescent="0.25">
      <c r="B47" s="2">
        <v>5</v>
      </c>
      <c r="C47" s="162" t="s">
        <v>92</v>
      </c>
      <c r="D47" s="163"/>
      <c r="E47" s="73">
        <f t="shared" si="0"/>
        <v>46258</v>
      </c>
      <c r="F47" s="77" t="s">
        <v>82</v>
      </c>
      <c r="G47" s="77">
        <v>1</v>
      </c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2" t="s">
        <v>93</v>
      </c>
      <c r="D48" s="163"/>
      <c r="E48" s="73">
        <f t="shared" si="0"/>
        <v>46258</v>
      </c>
      <c r="F48" s="77" t="s">
        <v>82</v>
      </c>
      <c r="G48" s="77">
        <v>1</v>
      </c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5"/>
      <c r="G49" s="75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5"/>
      <c r="G50" s="75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5"/>
      <c r="G51" s="75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5"/>
      <c r="G52" s="75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6" t="s">
        <v>74</v>
      </c>
      <c r="C53" s="166"/>
      <c r="D53" s="166"/>
      <c r="E53" s="166"/>
      <c r="F53" s="166"/>
      <c r="G53" s="166"/>
      <c r="H53" s="166"/>
      <c r="I53" s="166"/>
      <c r="J53" s="170">
        <f>+SUM(J43:L52)</f>
        <v>0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4"/>
      <c r="D56" s="165"/>
      <c r="E56" s="73"/>
      <c r="F56" s="48"/>
      <c r="G56" s="48"/>
      <c r="H56" s="167"/>
      <c r="I56" s="165"/>
      <c r="J56" s="167">
        <f t="shared" si="1"/>
        <v>0</v>
      </c>
      <c r="K56" s="165"/>
      <c r="L56" s="173"/>
    </row>
    <row r="57" spans="2:12" ht="25.15" customHeight="1" x14ac:dyDescent="0.25">
      <c r="B57" s="2">
        <v>2</v>
      </c>
      <c r="C57" s="164"/>
      <c r="D57" s="165"/>
      <c r="E57" s="59"/>
      <c r="F57" s="48"/>
      <c r="G57" s="48"/>
      <c r="H57" s="167"/>
      <c r="I57" s="165"/>
      <c r="J57" s="167">
        <f t="shared" si="1"/>
        <v>0</v>
      </c>
      <c r="K57" s="165"/>
      <c r="L57" s="173"/>
    </row>
    <row r="58" spans="2:12" ht="25.15" customHeight="1" x14ac:dyDescent="0.25">
      <c r="B58" s="2">
        <v>3</v>
      </c>
      <c r="C58" s="164"/>
      <c r="D58" s="165"/>
      <c r="E58" s="59"/>
      <c r="F58" s="48"/>
      <c r="G58" s="48"/>
      <c r="H58" s="167"/>
      <c r="I58" s="165"/>
      <c r="J58" s="167">
        <f t="shared" si="1"/>
        <v>0</v>
      </c>
      <c r="K58" s="165"/>
      <c r="L58" s="173"/>
    </row>
    <row r="59" spans="2:12" ht="25.15" customHeight="1" x14ac:dyDescent="0.25">
      <c r="B59" s="2">
        <v>4</v>
      </c>
      <c r="C59" s="164"/>
      <c r="D59" s="165"/>
      <c r="E59" s="59"/>
      <c r="F59" s="48"/>
      <c r="G59" s="48"/>
      <c r="H59" s="167"/>
      <c r="I59" s="165"/>
      <c r="J59" s="167">
        <f t="shared" si="1"/>
        <v>0</v>
      </c>
      <c r="K59" s="165"/>
      <c r="L59" s="173"/>
    </row>
    <row r="60" spans="2:12" ht="25.15" customHeight="1" thickBot="1" x14ac:dyDescent="0.3">
      <c r="B60" s="2">
        <v>5</v>
      </c>
      <c r="C60" s="164"/>
      <c r="D60" s="165"/>
      <c r="E60" s="47"/>
      <c r="F60" s="48"/>
      <c r="G60" s="48"/>
      <c r="H60" s="167"/>
      <c r="I60" s="165"/>
      <c r="J60" s="167">
        <f t="shared" si="1"/>
        <v>0</v>
      </c>
      <c r="K60" s="165"/>
      <c r="L60" s="173"/>
    </row>
    <row r="61" spans="2:12" ht="25.15" customHeight="1" thickBot="1" x14ac:dyDescent="0.3">
      <c r="B61" s="166" t="s">
        <v>74</v>
      </c>
      <c r="C61" s="166"/>
      <c r="D61" s="166"/>
      <c r="E61" s="166"/>
      <c r="F61" s="166"/>
      <c r="G61" s="166"/>
      <c r="H61" s="166"/>
      <c r="I61" s="166"/>
      <c r="J61" s="170">
        <f>+SUM(J56:L60)</f>
        <v>0</v>
      </c>
      <c r="K61" s="171"/>
      <c r="L61" s="172"/>
    </row>
    <row r="62" spans="2:12" ht="25.15" customHeight="1" thickBot="1" x14ac:dyDescent="0.3">
      <c r="B62" s="166" t="s">
        <v>6</v>
      </c>
      <c r="C62" s="166"/>
      <c r="D62" s="166"/>
      <c r="E62" s="166"/>
      <c r="F62" s="166"/>
      <c r="G62" s="166"/>
      <c r="H62" s="166"/>
      <c r="I62" s="166"/>
      <c r="J62" s="170">
        <f>+J61+J53</f>
        <v>0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topLeftCell="A64" zoomScale="40" zoomScaleNormal="70" zoomScaleSheetLayoutView="40" workbookViewId="0">
      <selection activeCell="G87" sqref="G8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46258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247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 xml:space="preserve">C3-C5 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2026-09-16T05:11:06Z</cp:lastPrinted>
  <dcterms:created xsi:type="dcterms:W3CDTF">2014-05-26T07:40:11Z</dcterms:created>
  <dcterms:modified xsi:type="dcterms:W3CDTF">2026-09-16T05:19:43Z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