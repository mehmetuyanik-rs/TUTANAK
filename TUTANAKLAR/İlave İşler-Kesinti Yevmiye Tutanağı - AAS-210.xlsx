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304CEBBB-5A87-4A7C-895A-0716448CEF7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6" i="1"/>
  <c r="E47" i="1"/>
  <c r="E48" i="1"/>
  <c r="E49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<sst xmlns="http://schemas.openxmlformats.org/spreadsheetml/2006/main" count="122" uniqueCount="98">
  <si>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</si>
  <si>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</si>
  <si>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</si>
  <si>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</si>
  <si>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</si>
  <si>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</si>
  <si>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</si>
  <si>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</si>
  <si>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</si>
  <si>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</si>
  <si>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</si>
  <si>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</si>
  <si>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</si>
  <si>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</si>
  <si>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</si>
  <si>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</si>
  <si>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</si>
  <si>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</si>
  <si>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</si>
  <si>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</si>
  <si>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</si>
  <si>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</si>
  <si>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</si>
  <si>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</si>
  <si>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</si>
  <si>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</si>
  <si>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</si>
  <si>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</si>
  <si>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</si>
  <si>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</si>
  <si>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</si>
  <si>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</si>
  <si>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</si>
  <si>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</si>
  <si>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</si>
  <si>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</si>
  <si>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</si>
  <si>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</si>
  <si>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</si>
  <si>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</si>
  <si>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</si>
  <si>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</si>
  <si>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</si>
  <si>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</si>
  <si>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</si>
  <si>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</si>
  <si>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</si>
  <si>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</si>
  <si>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</si>
  <si>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</si>
  <si>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</si>
  <si>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</si>
  <si>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</si>
  <si>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</si>
  <si>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</si>
  <si>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</si>
  <si>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</si>
  <si>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</si>
  <si>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</si>
  <si>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</si>
  <si>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</si>
  <si>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</si>
  <si>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</si>
  <si>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</si>
  <si>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</si>
  <si>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</si>
  <si>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</si>
  <si>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</si>
  <si>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</si>
  <si>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</si>
  <si>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</si>
  <si>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</si>
  <si>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</si>
  <si>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</si>
  <si>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</si>
  <si>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</si>
  <si>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</si>
  <si>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</si>
  <si>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</si>
  <si>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</si>
  <si>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</si>
  <si>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</si>
  <si>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</si>
  <si>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</si>
  <si>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</si>
  <si>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</si>
  <si>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</si>
  <si>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C6 / -4.80</t>
  </si>
  <si>
    <t>C6 Blok -4.80 kotunda, nem ve küf oluşumu nedeniyle hasar gören alçıpan duvarlar sökülerek gerekli düzeltmeler yapılmıştır.</t>
  </si>
  <si>
    <t>MUHAMMED ÇALAĞAN(USTA)</t>
  </si>
  <si>
    <t>HASAN TANRISEVEN(USTA YARDIMCISI)</t>
  </si>
  <si>
    <t>MEHMET SİNAN MENCİK(USTA)</t>
  </si>
  <si>
    <t>İSA ÇİFTÇİ(USTA YARDIMCISI)</t>
  </si>
  <si>
    <t>MEHMET EYYÜP ARĞİŞ(USTA YARDIMCISI)</t>
  </si>
  <si>
    <t>MURAT BOZMA(USTA YARDIMCISI)</t>
  </si>
  <si>
    <t>210</t>
  </si>
  <si>
    <t>NUSRET ÇİFTÇİ(USTA)</t>
  </si>
  <si>
    <t>İSMAİL AKKAŞ(USTA)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</si>
</sst>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topLeftCell="A13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66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v>46223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02" t="s">
        <v>95</v>
      </c>
      <c r="E7" s="103"/>
      <c r="F7" s="104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">
        <v>87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 t="s">
        <v>11</v>
      </c>
      <c r="C12" s="111"/>
      <c r="D12" s="112"/>
      <c r="E12" s="113"/>
      <c r="F12" s="114"/>
      <c r="G12" s="114"/>
      <c r="H12" s="114"/>
      <c r="I12" s="114"/>
      <c r="J12" s="114"/>
      <c r="K12" s="114"/>
      <c r="L12" s="115"/>
      <c r="M12" s="1"/>
    </row>
    <row r="13" spans="2:13" ht="15.75" thickBot="1" x14ac:dyDescent="0.3">
      <c r="B13" s="111"/>
      <c r="C13" s="111"/>
      <c r="D13" s="112"/>
      <c r="E13" s="116"/>
      <c r="F13" s="117"/>
      <c r="G13" s="117"/>
      <c r="H13" s="117"/>
      <c r="I13" s="117"/>
      <c r="J13" s="117"/>
      <c r="K13" s="117"/>
      <c r="L13" s="11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 t="s">
        <v>17</v>
      </c>
      <c r="C15" s="134"/>
      <c r="D15" s="135"/>
      <c r="E15" s="34"/>
      <c r="F15" s="123" t="s">
        <v>37</v>
      </c>
      <c r="G15" s="123"/>
      <c r="H15" s="123"/>
      <c r="I15" s="123"/>
      <c r="J15" s="123"/>
      <c r="K15" s="123"/>
      <c r="L15" s="124"/>
      <c r="M15" s="1"/>
    </row>
    <row r="16" spans="2:13" ht="4.1500000000000004" customHeight="1" x14ac:dyDescent="0.25">
      <c r="B16" s="134"/>
      <c r="C16" s="134"/>
      <c r="D16" s="135"/>
      <c r="E16" s="125"/>
      <c r="F16" s="126"/>
      <c r="G16" s="126"/>
      <c r="H16" s="126"/>
      <c r="I16" s="126"/>
      <c r="J16" s="126"/>
      <c r="K16" s="126"/>
      <c r="L16" s="127"/>
      <c r="M16" s="1"/>
    </row>
    <row r="17" spans="2:13" ht="25.9" customHeight="1" x14ac:dyDescent="0.25">
      <c r="B17" s="134"/>
      <c r="C17" s="134"/>
      <c r="D17" s="13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4"/>
      <c r="C18" s="134"/>
      <c r="D18" s="135"/>
      <c r="E18" s="125"/>
      <c r="F18" s="126"/>
      <c r="G18" s="126"/>
      <c r="H18" s="126"/>
      <c r="I18" s="126"/>
      <c r="J18" s="126"/>
      <c r="K18" s="126"/>
      <c r="L18" s="127"/>
      <c r="M18" s="1"/>
    </row>
    <row r="19" spans="2:13" ht="25.9" customHeight="1" thickBot="1" x14ac:dyDescent="0.3">
      <c r="B19" s="134"/>
      <c r="C19" s="134"/>
      <c r="D19" s="135"/>
      <c r="E19" s="35"/>
      <c r="F19" s="36" t="s">
        <v>16</v>
      </c>
      <c r="G19" s="36"/>
      <c r="H19" s="36"/>
      <c r="I19" s="136"/>
      <c r="J19" s="137"/>
      <c r="K19" s="138"/>
      <c r="L19" s="38"/>
      <c r="M19" s="1"/>
    </row>
    <row r="20" spans="2:13" ht="4.1500000000000004" customHeight="1" thickBot="1" x14ac:dyDescent="0.3">
      <c r="B20" s="134"/>
      <c r="C20" s="134"/>
      <c r="D20" s="135"/>
      <c r="E20" s="125"/>
      <c r="F20" s="126"/>
      <c r="G20" s="126"/>
      <c r="H20" s="126"/>
      <c r="I20" s="126"/>
      <c r="J20" s="126"/>
      <c r="K20" s="126"/>
      <c r="L20" s="127"/>
      <c r="M20" s="1"/>
    </row>
    <row r="21" spans="2:13" ht="25.9" customHeight="1" thickBot="1" x14ac:dyDescent="0.3">
      <c r="B21" s="134"/>
      <c r="C21" s="134"/>
      <c r="D21" s="135"/>
      <c r="E21" s="35"/>
      <c r="F21" s="36" t="s">
        <v>7</v>
      </c>
      <c r="G21" s="36"/>
      <c r="H21" s="36"/>
      <c r="I21" s="136"/>
      <c r="J21" s="137"/>
      <c r="K21" s="138"/>
      <c r="L21" s="38"/>
      <c r="M21" s="1"/>
    </row>
    <row r="22" spans="2:13" ht="4.1500000000000004" customHeight="1" thickBot="1" x14ac:dyDescent="0.3">
      <c r="B22" s="134"/>
      <c r="C22" s="134"/>
      <c r="D22" s="135"/>
      <c r="E22" s="125"/>
      <c r="F22" s="126"/>
      <c r="G22" s="126"/>
      <c r="H22" s="126"/>
      <c r="I22" s="126"/>
      <c r="J22" s="126"/>
      <c r="K22" s="126"/>
      <c r="L22" s="127"/>
      <c r="M22" s="1"/>
    </row>
    <row r="23" spans="2:13" ht="25.9" customHeight="1" thickBot="1" x14ac:dyDescent="0.3">
      <c r="B23" s="134"/>
      <c r="C23" s="134"/>
      <c r="D23" s="135"/>
      <c r="E23" s="35"/>
      <c r="F23" s="130" t="s">
        <v>26</v>
      </c>
      <c r="G23" s="130"/>
      <c r="H23" s="131"/>
      <c r="I23" s="136"/>
      <c r="J23" s="137"/>
      <c r="K23" s="138"/>
      <c r="L23" s="38"/>
      <c r="M23" s="1"/>
    </row>
    <row r="24" spans="2:13" ht="4.1500000000000004" customHeight="1" x14ac:dyDescent="0.25">
      <c r="B24" s="134"/>
      <c r="C24" s="134"/>
      <c r="D24" s="135"/>
      <c r="E24" s="125"/>
      <c r="F24" s="126"/>
      <c r="G24" s="126"/>
      <c r="H24" s="126"/>
      <c r="I24" s="126"/>
      <c r="J24" s="126"/>
      <c r="K24" s="126"/>
      <c r="L24" s="127"/>
      <c r="M24" s="1"/>
    </row>
    <row r="25" spans="2:13" ht="25.9" customHeight="1" thickBot="1" x14ac:dyDescent="0.3">
      <c r="B25" s="134"/>
      <c r="C25" s="134"/>
      <c r="D25" s="135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37"/>
      <c r="F26" s="137"/>
      <c r="G26" s="137"/>
      <c r="H26" s="137"/>
      <c r="I26" s="137"/>
      <c r="J26" s="137"/>
      <c r="K26" s="137"/>
      <c r="L26" s="137"/>
      <c r="M26" s="1"/>
    </row>
    <row r="27" spans="2:13" x14ac:dyDescent="0.25">
      <c r="B27" s="134" t="s">
        <v>23</v>
      </c>
      <c r="C27" s="134"/>
      <c r="D27" s="13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4"/>
      <c r="C28" s="134"/>
      <c r="D28" s="135"/>
      <c r="E28" s="139" t="s">
        <v>88</v>
      </c>
      <c r="F28" s="140"/>
      <c r="G28" s="140"/>
      <c r="H28" s="140"/>
      <c r="I28" s="140"/>
      <c r="J28" s="140"/>
      <c r="K28" s="140"/>
      <c r="L28" s="141"/>
      <c r="M28" s="1"/>
    </row>
    <row r="29" spans="2:13" x14ac:dyDescent="0.25">
      <c r="B29" s="134"/>
      <c r="C29" s="134"/>
      <c r="D29" s="135"/>
      <c r="E29" s="139"/>
      <c r="F29" s="140"/>
      <c r="G29" s="140"/>
      <c r="H29" s="140"/>
      <c r="I29" s="140"/>
      <c r="J29" s="140"/>
      <c r="K29" s="140"/>
      <c r="L29" s="141"/>
      <c r="M29" s="1"/>
    </row>
    <row r="30" spans="2:13" x14ac:dyDescent="0.25">
      <c r="B30" s="134"/>
      <c r="C30" s="134"/>
      <c r="D30" s="135"/>
      <c r="E30" s="139"/>
      <c r="F30" s="140"/>
      <c r="G30" s="140"/>
      <c r="H30" s="140"/>
      <c r="I30" s="140"/>
      <c r="J30" s="140"/>
      <c r="K30" s="140"/>
      <c r="L30" s="141"/>
      <c r="M30" s="1"/>
    </row>
    <row r="31" spans="2:13" ht="15.75" thickBot="1" x14ac:dyDescent="0.3">
      <c r="B31" s="134"/>
      <c r="C31" s="134"/>
      <c r="D31" s="135"/>
      <c r="E31" s="142"/>
      <c r="F31" s="143"/>
      <c r="G31" s="143"/>
      <c r="H31" s="143"/>
      <c r="I31" s="143"/>
      <c r="J31" s="143"/>
      <c r="K31" s="143"/>
      <c r="L31" s="144"/>
      <c r="M31" s="1"/>
    </row>
    <row r="32" spans="2:13" x14ac:dyDescent="0.25">
      <c r="B32" s="134"/>
      <c r="C32" s="134"/>
      <c r="D32" s="13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4"/>
      <c r="C33" s="134"/>
      <c r="D33" s="13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4"/>
      <c r="C34" s="134"/>
      <c r="D34" s="13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4"/>
      <c r="C35" s="134"/>
      <c r="D35" s="13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4"/>
      <c r="C36" s="134"/>
      <c r="D36" s="13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9" t="s">
        <v>12</v>
      </c>
      <c r="C38" s="120"/>
      <c r="D38" s="132" t="s">
        <v>13</v>
      </c>
      <c r="E38" s="124"/>
      <c r="F38" s="132" t="s">
        <v>30</v>
      </c>
      <c r="G38" s="123"/>
      <c r="H38" s="124"/>
      <c r="I38" s="123" t="s">
        <v>18</v>
      </c>
      <c r="J38" s="123"/>
      <c r="K38" s="123"/>
      <c r="L38" s="124"/>
      <c r="M38" s="1"/>
    </row>
    <row r="39" spans="2:13" ht="15.75" thickBot="1" x14ac:dyDescent="0.3">
      <c r="B39" s="121"/>
      <c r="C39" s="122"/>
      <c r="D39" s="133"/>
      <c r="E39" s="129"/>
      <c r="F39" s="133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195" t="s">
        <v>97</v>
      </c>
      <c r="D43" s="196"/>
      <c r="E43" s="73">
        <f t="shared" ref="E43:E50" si="0">+$D$5</f>
        <v>46223</v>
      </c>
      <c r="F43" s="75" t="s">
        <v>82</v>
      </c>
      <c r="G43" s="75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89</v>
      </c>
      <c r="D44" s="100"/>
      <c r="E44" s="73">
        <f t="shared" si="0"/>
        <v>46223</v>
      </c>
      <c r="F44" s="75" t="s">
        <v>82</v>
      </c>
      <c r="G44" s="75">
        <v>1</v>
      </c>
      <c r="H44" s="96">
        <v>4126.4799999999996</v>
      </c>
      <c r="I44" s="96"/>
      <c r="J44" s="94">
        <f t="shared" ref="J44:J60" si="1">+H44*G44</f>
        <v>4126.4799999999996</v>
      </c>
      <c r="K44" s="94"/>
      <c r="L44" s="95"/>
    </row>
    <row r="45" spans="2:13" ht="25.15" customHeight="1" x14ac:dyDescent="0.25">
      <c r="B45" s="2">
        <v>3</v>
      </c>
      <c r="C45" s="99" t="s">
        <v>91</v>
      </c>
      <c r="D45" s="100"/>
      <c r="E45" s="73">
        <f t="shared" si="0"/>
        <v>46223</v>
      </c>
      <c r="F45" s="76" t="s">
        <v>82</v>
      </c>
      <c r="G45" s="76">
        <v>1</v>
      </c>
      <c r="H45" s="96">
        <v>4126.4799999999996</v>
      </c>
      <c r="I45" s="96"/>
      <c r="J45" s="94">
        <f t="shared" si="1"/>
        <v>4126.4799999999996</v>
      </c>
      <c r="K45" s="94"/>
      <c r="L45" s="95"/>
    </row>
    <row r="46" spans="2:13" ht="25.15" customHeight="1" x14ac:dyDescent="0.25">
      <c r="B46" s="2">
        <v>4</v>
      </c>
      <c r="C46" s="195" t="s">
        <v>96</v>
      </c>
      <c r="D46" s="196"/>
      <c r="E46" s="73">
        <f t="shared" si="0"/>
        <v>46223</v>
      </c>
      <c r="F46" s="77" t="s">
        <v>82</v>
      </c>
      <c r="G46" s="77">
        <v>1</v>
      </c>
      <c r="H46" s="96">
        <v>4126.4799999999996</v>
      </c>
      <c r="I46" s="96"/>
      <c r="J46" s="94">
        <f t="shared" ref="J46:J52" si="2">+H46*G46</f>
        <v>4126.4799999999996</v>
      </c>
      <c r="K46" s="94"/>
      <c r="L46" s="95"/>
    </row>
    <row r="47" spans="2:13" ht="25.15" customHeight="1" x14ac:dyDescent="0.25">
      <c r="B47" s="2">
        <v>5</v>
      </c>
      <c r="C47" s="99" t="s">
        <v>94</v>
      </c>
      <c r="D47" s="100"/>
      <c r="E47" s="73">
        <f t="shared" si="0"/>
        <v>46223</v>
      </c>
      <c r="F47" s="77" t="s">
        <v>82</v>
      </c>
      <c r="G47" s="77">
        <v>1</v>
      </c>
      <c r="H47" s="96">
        <v>2851.48</v>
      </c>
      <c r="I47" s="96"/>
      <c r="J47" s="94">
        <f t="shared" si="2"/>
        <v>2851.48</v>
      </c>
      <c r="K47" s="94"/>
      <c r="L47" s="95"/>
    </row>
    <row r="48" spans="2:13" ht="25.15" customHeight="1" x14ac:dyDescent="0.25">
      <c r="B48" s="2">
        <v>6</v>
      </c>
      <c r="C48" s="99" t="s">
        <v>90</v>
      </c>
      <c r="D48" s="100"/>
      <c r="E48" s="73">
        <f t="shared" si="0"/>
        <v>46223</v>
      </c>
      <c r="F48" s="77" t="s">
        <v>82</v>
      </c>
      <c r="G48" s="77">
        <v>1</v>
      </c>
      <c r="H48" s="96">
        <v>2851.48</v>
      </c>
      <c r="I48" s="96"/>
      <c r="J48" s="94">
        <f t="shared" ref="J48:J50" si="3">+H48*G48</f>
        <v>2851.48</v>
      </c>
      <c r="K48" s="94"/>
      <c r="L48" s="95"/>
    </row>
    <row r="49" spans="2:12" ht="25.15" customHeight="1" x14ac:dyDescent="0.25">
      <c r="B49" s="2">
        <v>7</v>
      </c>
      <c r="C49" s="99" t="s">
        <v>92</v>
      </c>
      <c r="D49" s="100"/>
      <c r="E49" s="73">
        <f t="shared" si="0"/>
        <v>46223</v>
      </c>
      <c r="F49" s="77" t="s">
        <v>82</v>
      </c>
      <c r="G49" s="77">
        <v>1</v>
      </c>
      <c r="H49" s="96">
        <v>2851.48</v>
      </c>
      <c r="I49" s="96"/>
      <c r="J49" s="94">
        <f t="shared" si="3"/>
        <v>2851.48</v>
      </c>
      <c r="K49" s="94"/>
      <c r="L49" s="95"/>
    </row>
    <row r="50" spans="2:12" ht="25.15" customHeight="1" x14ac:dyDescent="0.25">
      <c r="B50" s="2">
        <v>8</v>
      </c>
      <c r="C50" s="99" t="s">
        <v>93</v>
      </c>
      <c r="D50" s="100"/>
      <c r="E50" s="73">
        <f t="shared" si="0"/>
        <v>46223</v>
      </c>
      <c r="F50" s="77" t="s">
        <v>82</v>
      </c>
      <c r="G50" s="77">
        <v>1</v>
      </c>
      <c r="H50" s="96">
        <v>2851.48</v>
      </c>
      <c r="I50" s="96"/>
      <c r="J50" s="94">
        <f t="shared" si="3"/>
        <v>2851.48</v>
      </c>
      <c r="K50" s="94"/>
      <c r="L50" s="95"/>
    </row>
    <row r="51" spans="2:12" ht="25.15" customHeight="1" x14ac:dyDescent="0.25">
      <c r="B51" s="2">
        <v>9</v>
      </c>
      <c r="C51" s="99"/>
      <c r="D51" s="100"/>
      <c r="E51" s="73"/>
      <c r="F51" s="74"/>
      <c r="G51" s="74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99"/>
      <c r="D52" s="100"/>
      <c r="E52" s="73"/>
      <c r="F52" s="74"/>
      <c r="G52" s="74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27911.839999999997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85</v>
      </c>
      <c r="D56" s="84"/>
      <c r="E56" s="73">
        <f>+E43</f>
        <v>46223</v>
      </c>
      <c r="F56" s="48" t="s">
        <v>86</v>
      </c>
      <c r="G56" s="48">
        <v>145.19999999999999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27911.839999999997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2"/>
      <c r="F64" s="81" t="s">
        <v>14</v>
      </c>
      <c r="G64" s="81"/>
      <c r="H64" s="152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3" t="s">
        <v>29</v>
      </c>
      <c r="G66" s="154"/>
      <c r="H66" s="155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6"/>
      <c r="G67" s="154"/>
      <c r="H67" s="155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3"/>
      <c r="G68" s="154"/>
      <c r="H68" s="155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6"/>
      <c r="G69" s="154"/>
      <c r="H69" s="155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4" t="s">
        <v>27</v>
      </c>
      <c r="C75" s="81"/>
      <c r="D75" s="81"/>
      <c r="E75" s="152"/>
      <c r="F75" s="81" t="s">
        <v>68</v>
      </c>
      <c r="G75" s="81"/>
      <c r="H75" s="152"/>
      <c r="I75" s="80" t="s">
        <v>31</v>
      </c>
      <c r="J75" s="81"/>
      <c r="K75" s="81"/>
      <c r="L75" s="82"/>
    </row>
    <row r="76" spans="2:12" ht="19.899999999999999" customHeight="1" x14ac:dyDescent="0.25">
      <c r="B76" s="146"/>
      <c r="C76" s="147"/>
      <c r="D76" s="147"/>
      <c r="E76" s="148"/>
      <c r="F76" s="159" t="s">
        <v>75</v>
      </c>
      <c r="G76" s="160"/>
      <c r="H76" s="161"/>
      <c r="I76" s="165" t="s">
        <v>25</v>
      </c>
      <c r="J76" s="166"/>
      <c r="K76" s="166"/>
      <c r="L76" s="167"/>
    </row>
    <row r="77" spans="2:12" ht="19.899999999999999" customHeight="1" x14ac:dyDescent="0.25">
      <c r="B77" s="149"/>
      <c r="C77" s="150"/>
      <c r="D77" s="150"/>
      <c r="E77" s="151"/>
      <c r="F77" s="162"/>
      <c r="G77" s="163"/>
      <c r="H77" s="164"/>
      <c r="I77" s="168"/>
      <c r="J77" s="169"/>
      <c r="K77" s="169"/>
      <c r="L77" s="170"/>
    </row>
    <row r="78" spans="2:12" ht="19.899999999999999" customHeight="1" x14ac:dyDescent="0.25">
      <c r="B78" s="149"/>
      <c r="C78" s="150"/>
      <c r="D78" s="150"/>
      <c r="E78" s="151"/>
      <c r="F78" s="162"/>
      <c r="G78" s="163"/>
      <c r="H78" s="16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1"/>
      <c r="J79" s="172"/>
      <c r="K79" s="172"/>
      <c r="L79" s="17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1"/>
      <c r="J80" s="172"/>
      <c r="K80" s="172"/>
      <c r="L80" s="17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2"/>
      <c r="F86" s="81" t="s">
        <v>64</v>
      </c>
      <c r="G86" s="81"/>
      <c r="H86" s="152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7" t="s">
        <v>62</v>
      </c>
      <c r="D88" s="157"/>
      <c r="E88" s="158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7"/>
      <c r="D89" s="157"/>
      <c r="E89" s="158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7"/>
      <c r="D91" s="157"/>
      <c r="E91" s="158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7"/>
      <c r="D92" s="157"/>
      <c r="E92" s="158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2"/>
      <c r="F96" s="81" t="s">
        <v>32</v>
      </c>
      <c r="G96" s="81"/>
      <c r="H96" s="152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7"/>
      <c r="D98" s="157"/>
      <c r="E98" s="158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7"/>
      <c r="D99" s="157"/>
      <c r="E99" s="158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7"/>
      <c r="D101" s="157"/>
      <c r="E101" s="158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7"/>
      <c r="D102" s="157"/>
      <c r="E102" s="158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5" t="s">
        <v>73</v>
      </c>
      <c r="D107" s="145"/>
      <c r="E107" s="145"/>
      <c r="F107" s="145"/>
      <c r="G107" s="145"/>
      <c r="H107" s="145"/>
      <c r="I107" s="145"/>
      <c r="J107" s="145"/>
      <c r="K107" s="145"/>
      <c r="L107" s="4"/>
    </row>
    <row r="108" spans="2:12" ht="16.149999999999999" customHeight="1" x14ac:dyDescent="0.25">
      <c r="B108" s="4"/>
      <c r="C108" s="145"/>
      <c r="D108" s="145"/>
      <c r="E108" s="145"/>
      <c r="F108" s="145"/>
      <c r="G108" s="145"/>
      <c r="H108" s="145"/>
      <c r="I108" s="145"/>
      <c r="J108" s="145"/>
      <c r="K108" s="145"/>
      <c r="L108" s="4"/>
    </row>
    <row r="109" spans="2:12" ht="16.149999999999999" customHeight="1" x14ac:dyDescent="0.25">
      <c r="B109" s="4"/>
      <c r="C109" s="145"/>
      <c r="D109" s="145"/>
      <c r="E109" s="145"/>
      <c r="F109" s="145"/>
      <c r="G109" s="145"/>
      <c r="H109" s="145"/>
      <c r="I109" s="145"/>
      <c r="J109" s="145"/>
      <c r="K109" s="145"/>
      <c r="L109" s="4"/>
    </row>
    <row r="110" spans="2:12" ht="16.149999999999999" customHeight="1" x14ac:dyDescent="0.25">
      <c r="B110" s="4"/>
      <c r="C110" s="145"/>
      <c r="D110" s="145"/>
      <c r="E110" s="145"/>
      <c r="F110" s="145"/>
      <c r="G110" s="145"/>
      <c r="H110" s="145"/>
      <c r="I110" s="145"/>
      <c r="J110" s="145"/>
      <c r="K110" s="14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83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f>'İLAVE İS TUT.'!D5</f>
        <v>46223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75" t="str">
        <f>'İLAVE İS TUT.'!D7</f>
        <v>210</v>
      </c>
      <c r="E7" s="106"/>
      <c r="F7" s="107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tr">
        <f>'İLAVE İS TUT.'!I9</f>
        <v>C6 / -4.80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/>
      <c r="C12" s="111"/>
      <c r="D12" s="111"/>
      <c r="E12" s="130"/>
      <c r="F12" s="130"/>
      <c r="G12" s="130"/>
      <c r="H12" s="130"/>
      <c r="I12" s="130"/>
      <c r="J12" s="130"/>
      <c r="K12" s="130"/>
      <c r="L12" s="130"/>
      <c r="M12" s="1"/>
    </row>
    <row r="13" spans="2:13" x14ac:dyDescent="0.25">
      <c r="B13" s="111"/>
      <c r="C13" s="111"/>
      <c r="D13" s="111"/>
      <c r="E13" s="130"/>
      <c r="F13" s="130"/>
      <c r="G13" s="130"/>
      <c r="H13" s="130"/>
      <c r="I13" s="130"/>
      <c r="J13" s="130"/>
      <c r="K13" s="130"/>
      <c r="L13" s="13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/>
      <c r="C15" s="134"/>
      <c r="D15" s="134"/>
      <c r="E15" s="36"/>
      <c r="F15" s="176"/>
      <c r="G15" s="176"/>
      <c r="H15" s="176"/>
      <c r="I15" s="176"/>
      <c r="J15" s="176"/>
      <c r="K15" s="176"/>
      <c r="L15" s="176"/>
      <c r="M15" s="1"/>
    </row>
    <row r="16" spans="2:13" ht="4.1500000000000004" customHeight="1" x14ac:dyDescent="0.25">
      <c r="B16" s="134"/>
      <c r="C16" s="134"/>
      <c r="D16" s="134"/>
      <c r="E16" s="126"/>
      <c r="F16" s="126"/>
      <c r="G16" s="126"/>
      <c r="H16" s="126"/>
      <c r="I16" s="126"/>
      <c r="J16" s="126"/>
      <c r="K16" s="126"/>
      <c r="L16" s="126"/>
      <c r="M16" s="1"/>
    </row>
    <row r="17" spans="2:13" ht="25.9" customHeight="1" x14ac:dyDescent="0.25">
      <c r="B17" s="134"/>
      <c r="C17" s="134"/>
      <c r="D17" s="13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4"/>
      <c r="C18" s="134"/>
      <c r="D18" s="134"/>
      <c r="E18" s="126"/>
      <c r="F18" s="126"/>
      <c r="G18" s="126"/>
      <c r="H18" s="126"/>
      <c r="I18" s="126"/>
      <c r="J18" s="126"/>
      <c r="K18" s="126"/>
      <c r="L18" s="126"/>
      <c r="M18" s="1"/>
    </row>
    <row r="19" spans="2:13" ht="25.9" customHeight="1" x14ac:dyDescent="0.25">
      <c r="B19" s="134"/>
      <c r="C19" s="134"/>
      <c r="D19" s="134"/>
      <c r="E19" s="36"/>
      <c r="F19" s="36"/>
      <c r="G19" s="36"/>
      <c r="H19" s="36"/>
      <c r="I19" s="126"/>
      <c r="J19" s="126"/>
      <c r="K19" s="126"/>
      <c r="L19" s="36"/>
      <c r="M19" s="1"/>
    </row>
    <row r="20" spans="2:13" ht="4.1500000000000004" customHeight="1" x14ac:dyDescent="0.25">
      <c r="B20" s="134"/>
      <c r="C20" s="134"/>
      <c r="D20" s="134"/>
      <c r="E20" s="126"/>
      <c r="F20" s="126"/>
      <c r="G20" s="126"/>
      <c r="H20" s="126"/>
      <c r="I20" s="126"/>
      <c r="J20" s="126"/>
      <c r="K20" s="126"/>
      <c r="L20" s="126"/>
      <c r="M20" s="1"/>
    </row>
    <row r="21" spans="2:13" ht="25.9" customHeight="1" x14ac:dyDescent="0.25">
      <c r="B21" s="134"/>
      <c r="C21" s="134"/>
      <c r="D21" s="134"/>
      <c r="E21" s="36"/>
      <c r="F21" s="36"/>
      <c r="G21" s="36"/>
      <c r="H21" s="36"/>
      <c r="I21" s="126"/>
      <c r="J21" s="126"/>
      <c r="K21" s="126"/>
      <c r="L21" s="36"/>
      <c r="M21" s="1"/>
    </row>
    <row r="22" spans="2:13" ht="4.1500000000000004" customHeight="1" x14ac:dyDescent="0.25">
      <c r="B22" s="134"/>
      <c r="C22" s="134"/>
      <c r="D22" s="134"/>
      <c r="E22" s="126"/>
      <c r="F22" s="126"/>
      <c r="G22" s="126"/>
      <c r="H22" s="126"/>
      <c r="I22" s="126"/>
      <c r="J22" s="126"/>
      <c r="K22" s="126"/>
      <c r="L22" s="126"/>
      <c r="M22" s="1"/>
    </row>
    <row r="23" spans="2:13" ht="25.9" customHeight="1" x14ac:dyDescent="0.25">
      <c r="B23" s="134"/>
      <c r="C23" s="134"/>
      <c r="D23" s="134"/>
      <c r="E23" s="36"/>
      <c r="F23" s="130"/>
      <c r="G23" s="130"/>
      <c r="H23" s="130"/>
      <c r="I23" s="126"/>
      <c r="J23" s="126"/>
      <c r="K23" s="126"/>
      <c r="L23" s="36"/>
      <c r="M23" s="1"/>
    </row>
    <row r="24" spans="2:13" ht="4.1500000000000004" customHeight="1" x14ac:dyDescent="0.25">
      <c r="B24" s="134"/>
      <c r="C24" s="134"/>
      <c r="D24" s="134"/>
      <c r="E24" s="126"/>
      <c r="F24" s="126"/>
      <c r="G24" s="126"/>
      <c r="H24" s="126"/>
      <c r="I24" s="126"/>
      <c r="J24" s="126"/>
      <c r="K24" s="126"/>
      <c r="L24" s="126"/>
      <c r="M24" s="1"/>
    </row>
    <row r="25" spans="2:13" ht="25.9" customHeight="1" x14ac:dyDescent="0.25">
      <c r="B25" s="134"/>
      <c r="C25" s="134"/>
      <c r="D25" s="134"/>
      <c r="E25" s="36"/>
      <c r="F25" s="176"/>
      <c r="G25" s="176"/>
      <c r="H25" s="176"/>
      <c r="I25" s="176"/>
      <c r="J25" s="176"/>
      <c r="K25" s="176"/>
      <c r="L25" s="176"/>
      <c r="M25" s="1"/>
    </row>
    <row r="26" spans="2:13" ht="10.9" customHeight="1" x14ac:dyDescent="0.25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34"/>
      <c r="C27" s="134"/>
      <c r="D27" s="13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4"/>
      <c r="C28" s="134"/>
      <c r="D28" s="134"/>
      <c r="E28" s="130"/>
      <c r="F28" s="130"/>
      <c r="G28" s="130"/>
      <c r="H28" s="130"/>
      <c r="I28" s="130"/>
      <c r="J28" s="130"/>
      <c r="K28" s="130"/>
      <c r="L28" s="130"/>
      <c r="M28" s="1"/>
    </row>
    <row r="29" spans="2:13" x14ac:dyDescent="0.25">
      <c r="B29" s="134"/>
      <c r="C29" s="134"/>
      <c r="D29" s="134"/>
      <c r="E29" s="130"/>
      <c r="F29" s="130"/>
      <c r="G29" s="130"/>
      <c r="H29" s="130"/>
      <c r="I29" s="130"/>
      <c r="J29" s="130"/>
      <c r="K29" s="130"/>
      <c r="L29" s="130"/>
      <c r="M29" s="1"/>
    </row>
    <row r="30" spans="2:13" x14ac:dyDescent="0.25">
      <c r="B30" s="134"/>
      <c r="C30" s="134"/>
      <c r="D30" s="134"/>
      <c r="E30" s="130"/>
      <c r="F30" s="130"/>
      <c r="G30" s="130"/>
      <c r="H30" s="130"/>
      <c r="I30" s="130"/>
      <c r="J30" s="130"/>
      <c r="K30" s="130"/>
      <c r="L30" s="130"/>
      <c r="M30" s="1"/>
    </row>
    <row r="31" spans="2:13" x14ac:dyDescent="0.25">
      <c r="B31" s="134"/>
      <c r="C31" s="134"/>
      <c r="D31" s="134"/>
      <c r="E31" s="130"/>
      <c r="F31" s="130"/>
      <c r="G31" s="130"/>
      <c r="H31" s="130"/>
      <c r="I31" s="130"/>
      <c r="J31" s="130"/>
      <c r="K31" s="130"/>
      <c r="L31" s="130"/>
      <c r="M31" s="1"/>
    </row>
    <row r="32" spans="2:13" x14ac:dyDescent="0.25">
      <c r="B32" s="134"/>
      <c r="C32" s="134"/>
      <c r="D32" s="13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4"/>
      <c r="C33" s="134"/>
      <c r="D33" s="13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4"/>
      <c r="C34" s="134"/>
      <c r="D34" s="13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4"/>
      <c r="C35" s="134"/>
      <c r="D35" s="13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4"/>
      <c r="C36" s="134"/>
      <c r="D36" s="13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7"/>
      <c r="C38" s="177"/>
      <c r="D38" s="178"/>
      <c r="E38" s="178"/>
      <c r="F38" s="178"/>
      <c r="G38" s="178"/>
      <c r="H38" s="178"/>
      <c r="I38" s="178"/>
      <c r="J38" s="178"/>
      <c r="K38" s="178"/>
      <c r="L38" s="178"/>
      <c r="M38" s="1"/>
    </row>
    <row r="39" spans="2:13" x14ac:dyDescent="0.25">
      <c r="B39" s="177"/>
      <c r="C39" s="177"/>
      <c r="D39" s="178"/>
      <c r="E39" s="178"/>
      <c r="F39" s="178"/>
      <c r="G39" s="178"/>
      <c r="H39" s="178"/>
      <c r="I39" s="178"/>
      <c r="J39" s="178"/>
      <c r="K39" s="178"/>
      <c r="L39" s="178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9"/>
      <c r="I41" s="179"/>
      <c r="J41" s="179"/>
      <c r="K41" s="179"/>
      <c r="L41" s="179"/>
    </row>
    <row r="42" spans="2:13" ht="25.15" customHeight="1" x14ac:dyDescent="0.25">
      <c r="B42" s="71"/>
      <c r="C42" s="63"/>
      <c r="D42" s="71"/>
      <c r="E42" s="71"/>
      <c r="F42" s="71"/>
      <c r="G42" s="71"/>
      <c r="H42" s="179"/>
      <c r="I42" s="179"/>
      <c r="J42" s="179"/>
      <c r="K42" s="179"/>
      <c r="L42" s="179"/>
    </row>
    <row r="43" spans="2:13" ht="25.15" customHeight="1" x14ac:dyDescent="0.25">
      <c r="B43" s="64"/>
      <c r="C43" s="180"/>
      <c r="D43" s="180"/>
      <c r="E43" s="65"/>
      <c r="F43" s="72"/>
      <c r="G43" s="72"/>
      <c r="H43" s="181"/>
      <c r="I43" s="181"/>
      <c r="J43" s="182"/>
      <c r="K43" s="180"/>
      <c r="L43" s="180"/>
    </row>
    <row r="44" spans="2:13" ht="25.15" customHeight="1" x14ac:dyDescent="0.25">
      <c r="B44" s="64"/>
      <c r="C44" s="180"/>
      <c r="D44" s="180"/>
      <c r="E44" s="66"/>
      <c r="F44" s="72"/>
      <c r="G44" s="72"/>
      <c r="H44" s="181"/>
      <c r="I44" s="181"/>
      <c r="J44" s="182"/>
      <c r="K44" s="180"/>
      <c r="L44" s="180"/>
    </row>
    <row r="45" spans="2:13" ht="25.15" customHeight="1" x14ac:dyDescent="0.25">
      <c r="B45" s="64"/>
      <c r="C45" s="180"/>
      <c r="D45" s="180"/>
      <c r="E45" s="66"/>
      <c r="F45" s="72"/>
      <c r="G45" s="72"/>
      <c r="H45" s="181"/>
      <c r="I45" s="181"/>
      <c r="J45" s="182"/>
      <c r="K45" s="180"/>
      <c r="L45" s="180"/>
    </row>
    <row r="46" spans="2:13" ht="25.15" customHeight="1" x14ac:dyDescent="0.25">
      <c r="B46" s="64"/>
      <c r="C46" s="180"/>
      <c r="D46" s="180"/>
      <c r="E46" s="67"/>
      <c r="F46" s="72"/>
      <c r="G46" s="72"/>
      <c r="H46" s="182"/>
      <c r="I46" s="180"/>
      <c r="J46" s="182"/>
      <c r="K46" s="180"/>
      <c r="L46" s="180"/>
    </row>
    <row r="47" spans="2:13" ht="25.15" customHeight="1" x14ac:dyDescent="0.25">
      <c r="B47" s="64"/>
      <c r="C47" s="180"/>
      <c r="D47" s="180"/>
      <c r="E47" s="66"/>
      <c r="F47" s="72"/>
      <c r="G47" s="72"/>
      <c r="H47" s="182"/>
      <c r="I47" s="180"/>
      <c r="J47" s="182"/>
      <c r="K47" s="180"/>
      <c r="L47" s="180"/>
    </row>
    <row r="48" spans="2:13" ht="25.15" customHeight="1" x14ac:dyDescent="0.25">
      <c r="B48" s="183"/>
      <c r="C48" s="183"/>
      <c r="D48" s="183"/>
      <c r="E48" s="183"/>
      <c r="F48" s="183"/>
      <c r="G48" s="183"/>
      <c r="H48" s="183"/>
      <c r="I48" s="183"/>
      <c r="J48" s="184"/>
      <c r="K48" s="184"/>
      <c r="L48" s="184"/>
    </row>
    <row r="49" spans="2:12" ht="25.15" customHeight="1" x14ac:dyDescent="0.25">
      <c r="B49" s="71"/>
      <c r="C49" s="63"/>
      <c r="D49" s="71"/>
      <c r="E49" s="71"/>
      <c r="F49" s="71"/>
      <c r="G49" s="71"/>
      <c r="H49" s="179"/>
      <c r="I49" s="179"/>
      <c r="J49" s="179"/>
      <c r="K49" s="179"/>
      <c r="L49" s="179"/>
    </row>
    <row r="50" spans="2:12" ht="25.15" customHeight="1" x14ac:dyDescent="0.25">
      <c r="B50" s="71"/>
      <c r="C50" s="63"/>
      <c r="D50" s="71"/>
      <c r="E50" s="71"/>
      <c r="F50" s="71"/>
      <c r="G50" s="71"/>
      <c r="H50" s="179"/>
      <c r="I50" s="179"/>
      <c r="J50" s="179"/>
      <c r="K50" s="179"/>
      <c r="L50" s="179"/>
    </row>
    <row r="51" spans="2:12" ht="25.15" customHeight="1" x14ac:dyDescent="0.25">
      <c r="B51" s="64"/>
      <c r="C51" s="180"/>
      <c r="D51" s="180"/>
      <c r="E51" s="66"/>
      <c r="F51" s="72"/>
      <c r="G51" s="72"/>
      <c r="H51" s="182"/>
      <c r="I51" s="180"/>
      <c r="J51" s="182"/>
      <c r="K51" s="180"/>
      <c r="L51" s="180"/>
    </row>
    <row r="52" spans="2:12" ht="25.15" customHeight="1" x14ac:dyDescent="0.25">
      <c r="B52" s="64"/>
      <c r="C52" s="180"/>
      <c r="D52" s="180"/>
      <c r="E52" s="66"/>
      <c r="F52" s="72"/>
      <c r="G52" s="72"/>
      <c r="H52" s="182"/>
      <c r="I52" s="180"/>
      <c r="J52" s="182"/>
      <c r="K52" s="180"/>
      <c r="L52" s="180"/>
    </row>
    <row r="53" spans="2:12" ht="25.15" customHeight="1" x14ac:dyDescent="0.25">
      <c r="B53" s="64"/>
      <c r="C53" s="180"/>
      <c r="D53" s="180"/>
      <c r="E53" s="66"/>
      <c r="F53" s="72"/>
      <c r="G53" s="72"/>
      <c r="H53" s="182"/>
      <c r="I53" s="180"/>
      <c r="J53" s="182"/>
      <c r="K53" s="180"/>
      <c r="L53" s="180"/>
    </row>
    <row r="54" spans="2:12" ht="25.15" customHeight="1" x14ac:dyDescent="0.25">
      <c r="B54" s="64"/>
      <c r="C54" s="180"/>
      <c r="D54" s="180"/>
      <c r="E54" s="66"/>
      <c r="F54" s="72"/>
      <c r="G54" s="72"/>
      <c r="H54" s="182"/>
      <c r="I54" s="180"/>
      <c r="J54" s="182"/>
      <c r="K54" s="180"/>
      <c r="L54" s="180"/>
    </row>
    <row r="55" spans="2:12" ht="25.15" customHeight="1" x14ac:dyDescent="0.25">
      <c r="B55" s="64"/>
      <c r="C55" s="180"/>
      <c r="D55" s="180"/>
      <c r="E55" s="66"/>
      <c r="F55" s="72"/>
      <c r="G55" s="72"/>
      <c r="H55" s="182"/>
      <c r="I55" s="180"/>
      <c r="J55" s="182"/>
      <c r="K55" s="180"/>
      <c r="L55" s="180"/>
    </row>
    <row r="56" spans="2:12" ht="25.15" customHeight="1" x14ac:dyDescent="0.25">
      <c r="B56" s="183"/>
      <c r="C56" s="183"/>
      <c r="D56" s="183"/>
      <c r="E56" s="183"/>
      <c r="F56" s="183"/>
      <c r="G56" s="183"/>
      <c r="H56" s="183"/>
      <c r="I56" s="183"/>
      <c r="J56" s="184"/>
      <c r="K56" s="184"/>
      <c r="L56" s="184"/>
    </row>
    <row r="57" spans="2:12" ht="25.15" customHeight="1" x14ac:dyDescent="0.25">
      <c r="B57" s="183"/>
      <c r="C57" s="183"/>
      <c r="D57" s="183"/>
      <c r="E57" s="183"/>
      <c r="F57" s="183"/>
      <c r="G57" s="183"/>
      <c r="H57" s="183"/>
      <c r="I57" s="183"/>
      <c r="J57" s="184"/>
      <c r="K57" s="184"/>
      <c r="L57" s="184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7"/>
      <c r="I58" s="187"/>
      <c r="J58" s="182"/>
      <c r="K58" s="180"/>
      <c r="L58" s="180"/>
    </row>
    <row r="59" spans="2:12" ht="21" customHeight="1" x14ac:dyDescent="0.25"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5"/>
      <c r="G61" s="186"/>
      <c r="H61" s="186"/>
      <c r="I61"/>
      <c r="J61"/>
      <c r="K61"/>
      <c r="L61"/>
    </row>
    <row r="62" spans="2:12" x14ac:dyDescent="0.25">
      <c r="F62" s="186"/>
      <c r="G62" s="186"/>
      <c r="H62" s="186"/>
    </row>
    <row r="63" spans="2:12" ht="15" customHeight="1" x14ac:dyDescent="0.25">
      <c r="F63" s="185"/>
      <c r="G63" s="186"/>
      <c r="H63" s="186"/>
    </row>
    <row r="64" spans="2:12" x14ac:dyDescent="0.25">
      <c r="F64" s="186"/>
      <c r="G64" s="186"/>
      <c r="H64" s="18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</row>
    <row r="74" spans="2:12" ht="14.45" customHeight="1" x14ac:dyDescent="0.25">
      <c r="I74" s="194"/>
      <c r="J74" s="194"/>
      <c r="K74" s="194"/>
      <c r="L74" s="194"/>
    </row>
    <row r="75" spans="2:12" ht="14.65" customHeight="1" x14ac:dyDescent="0.25">
      <c r="F75" s="68"/>
      <c r="G75" s="68"/>
      <c r="H75" s="68"/>
      <c r="I75" s="194"/>
      <c r="J75" s="194"/>
      <c r="K75" s="194"/>
      <c r="L75" s="194"/>
    </row>
    <row r="76" spans="2:12" x14ac:dyDescent="0.25">
      <c r="F76" s="68"/>
      <c r="G76" s="68"/>
      <c r="H76" s="68"/>
    </row>
    <row r="81" spans="2:12" ht="21" customHeight="1" x14ac:dyDescent="0.25">
      <c r="B81" s="188"/>
      <c r="C81" s="188"/>
      <c r="D81" s="188"/>
      <c r="E81" s="188"/>
      <c r="F81" s="188"/>
      <c r="G81" s="188"/>
      <c r="H81" s="18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2"/>
      <c r="D83" s="192"/>
      <c r="E83" s="192"/>
      <c r="F83" s="68"/>
      <c r="G83" s="68"/>
      <c r="H83" s="68"/>
    </row>
    <row r="84" spans="2:12" x14ac:dyDescent="0.25">
      <c r="C84" s="192"/>
      <c r="D84" s="192"/>
      <c r="E84" s="192"/>
      <c r="F84" s="68"/>
      <c r="G84" s="68"/>
      <c r="H84" s="68"/>
    </row>
    <row r="86" spans="2:12" ht="14.65" customHeight="1" x14ac:dyDescent="0.25">
      <c r="C86" s="192"/>
      <c r="D86" s="192"/>
      <c r="E86" s="192"/>
      <c r="F86" s="68"/>
      <c r="G86" s="68"/>
      <c r="H86" s="68"/>
    </row>
    <row r="87" spans="2:12" x14ac:dyDescent="0.25">
      <c r="C87" s="192"/>
      <c r="D87" s="192"/>
      <c r="E87" s="192"/>
      <c r="F87" s="68"/>
      <c r="G87" s="68"/>
      <c r="H87" s="68"/>
    </row>
    <row r="91" spans="2:12" ht="21" customHeight="1" x14ac:dyDescent="0.25"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2"/>
      <c r="D93" s="192"/>
      <c r="E93" s="192"/>
      <c r="F93" s="68"/>
      <c r="G93" s="68"/>
      <c r="H93" s="68"/>
    </row>
    <row r="94" spans="2:12" x14ac:dyDescent="0.25">
      <c r="C94" s="192"/>
      <c r="D94" s="192"/>
      <c r="E94" s="192"/>
      <c r="F94" s="68"/>
      <c r="G94" s="68"/>
      <c r="H94" s="68"/>
    </row>
    <row r="96" spans="2:12" ht="14.65" customHeight="1" x14ac:dyDescent="0.25">
      <c r="C96" s="192"/>
      <c r="D96" s="192"/>
      <c r="E96" s="192"/>
      <c r="F96" s="68"/>
      <c r="G96" s="68"/>
      <c r="H96" s="68"/>
    </row>
    <row r="97" spans="3:11" x14ac:dyDescent="0.25">
      <c r="C97" s="192"/>
      <c r="D97" s="192"/>
      <c r="E97" s="192"/>
      <c r="F97" s="68"/>
      <c r="G97" s="68"/>
      <c r="H97" s="68"/>
    </row>
    <row r="102" spans="3:11" ht="16.149999999999999" customHeight="1" x14ac:dyDescent="0.25">
      <c r="C102" s="193"/>
      <c r="D102" s="193"/>
      <c r="E102" s="193"/>
      <c r="F102" s="193"/>
      <c r="G102" s="193"/>
      <c r="H102" s="193"/>
      <c r="I102" s="193"/>
      <c r="J102" s="193"/>
      <c r="K102" s="193"/>
    </row>
    <row r="103" spans="3:11" ht="16.149999999999999" customHeight="1" x14ac:dyDescent="0.25">
      <c r="C103" s="193"/>
      <c r="D103" s="193"/>
      <c r="E103" s="193"/>
      <c r="F103" s="193"/>
      <c r="G103" s="193"/>
      <c r="H103" s="193"/>
      <c r="I103" s="193"/>
      <c r="J103" s="193"/>
      <c r="K103" s="193"/>
    </row>
    <row r="104" spans="3:11" ht="16.149999999999999" customHeight="1" x14ac:dyDescent="0.25">
      <c r="C104" s="193"/>
      <c r="D104" s="193"/>
      <c r="E104" s="193"/>
      <c r="F104" s="193"/>
      <c r="G104" s="193"/>
      <c r="H104" s="193"/>
      <c r="I104" s="193"/>
      <c r="J104" s="193"/>
      <c r="K104" s="193"/>
    </row>
    <row r="105" spans="3:11" ht="16.149999999999999" customHeight="1" x14ac:dyDescent="0.25">
      <c r="C105" s="193"/>
      <c r="D105" s="193"/>
      <c r="E105" s="193"/>
      <c r="F105" s="193"/>
      <c r="G105" s="193"/>
      <c r="H105" s="193"/>
      <c r="I105" s="193"/>
      <c r="J105" s="193"/>
      <c r="K105" s="19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2026-07-21T05:24:06Z</cp:lastPrinted>
  <dcterms:created xsi:type="dcterms:W3CDTF">2014-05-26T07:40:11Z</dcterms:created>
  <dcterms:modified xsi:type="dcterms:W3CDTF">2026-07-21T05:24:13Z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