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F8B5FA0-1766-43A8-83A0-C527B405C112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<sst xmlns="http://schemas.openxmlformats.org/spreadsheetml/2006/main" count="110" uniqueCount="92">
  <si>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</si>
  <si>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</si>
  <si>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</si>
  <si>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</si>
  <si>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</si>
  <si>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</si>
  <si>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</si>
  <si>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</si>
  <si>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</si>
  <si>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</si>
  <si>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</si>
  <si>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</si>
  <si>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</si>
  <si>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</si>
  <si>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</si>
  <si>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</si>
  <si>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</si>
  <si>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</si>
  <si>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</si>
  <si>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</si>
  <si>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</si>
  <si>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</si>
  <si>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</si>
  <si>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</si>
  <si>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</si>
  <si>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</si>
  <si>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</si>
  <si>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</si>
  <si>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</si>
  <si>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</si>
  <si>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</si>
  <si>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</si>
  <si>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</si>
  <si>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</si>
  <si>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</si>
  <si>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</si>
  <si>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</si>
  <si>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</si>
  <si>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</si>
  <si>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</si>
  <si>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</si>
  <si>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</si>
  <si>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</si>
  <si>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</si>
  <si>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</si>
  <si>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</si>
  <si>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</si>
  <si>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</si>
  <si>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</si>
  <si>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</si>
  <si>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</si>
  <si>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</si>
  <si>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</si>
  <si>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</si>
  <si>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</si>
  <si>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</si>
  <si>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</si>
  <si>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</si>
  <si>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</si>
  <si>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</si>
  <si>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</si>
  <si>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</si>
  <si>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</si>
  <si>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</si>
  <si>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</si>
  <si>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</si>
  <si>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</si>
  <si>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</si>
  <si>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</si>
  <si>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</si>
  <si>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</si>
  <si>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</si>
  <si>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</si>
  <si>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</si>
  <si>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</si>
  <si>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</si>
  <si>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</si>
  <si>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</si>
  <si>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</si>
  <si>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</si>
  <si>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</si>
  <si>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</si>
  <si>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</si>
  <si>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</si>
  <si>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</si>
  <si>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243</t>
  </si>
  <si>
    <t>C5 / 10.20</t>
  </si>
  <si>
    <t>C5 Blok 10.20 kotunda, şap öncesinde ıslak hacimlerde yapılan alçıpan imalatları zarar görmüş olup, gerekli düzeltmeler yapılmıştır.</t>
  </si>
  <si>
    <t>CİHAN MENCİK (USTA)</t>
  </si>
  <si>
    <t>ORHAN MENCİK (USTA YARDIMCISI)</t>
  </si>
  <si>
    <t>WR ULTRA ALÇIPANEL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</si>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</sst>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7" zoomScale="70" zoomScaleNormal="70" zoomScaleSheetLayoutView="70" workbookViewId="0">
      <selection activeCell="H46" sqref="H46:I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46256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85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86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87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44" si="0">+$D$5</f>
        <v>46256</v>
      </c>
      <c r="F43" s="74" t="s">
        <v>82</v>
      </c>
      <c r="G43" s="74">
        <v>1</v>
      </c>
      <c r="H43" s="96"/>
      <c r="I43" s="96"/>
      <c r="J43" s="94">
        <f>+H43*G43</f>
        <v>0</v>
      </c>
      <c r="K43" s="94"/>
      <c r="L43" s="95"/>
    </row>
    <row r="44" spans="2:13" ht="25.15" customHeight="1" x14ac:dyDescent="0.25">
      <c r="B44" s="2">
        <v>2</v>
      </c>
      <c r="C44" s="99" t="s">
        <v>89</v>
      </c>
      <c r="D44" s="100"/>
      <c r="E44" s="73">
        <f t="shared" si="0"/>
        <v>46256</v>
      </c>
      <c r="F44" s="74" t="s">
        <v>82</v>
      </c>
      <c r="G44" s="74">
        <v>1</v>
      </c>
      <c r="H44" s="96"/>
      <c r="I44" s="96"/>
      <c r="J44" s="94">
        <f t="shared" ref="J44:J60" si="1">+H44*G44</f>
        <v>0</v>
      </c>
      <c r="K44" s="94"/>
      <c r="L44" s="95"/>
    </row>
    <row r="45" spans="2:13" ht="25.15" customHeight="1" x14ac:dyDescent="0.25">
      <c r="B45" s="2">
        <v>3</v>
      </c>
      <c r="C45" s="99"/>
      <c r="D45" s="100"/>
      <c r="E45" s="73"/>
      <c r="F45" s="75"/>
      <c r="G45" s="75"/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6"/>
      <c r="G46" s="76"/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6"/>
      <c r="G47" s="76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7"/>
      <c r="G48" s="77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7"/>
      <c r="G49" s="77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7"/>
      <c r="G50" s="77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7"/>
      <c r="G51" s="77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7"/>
      <c r="G52" s="77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0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90</v>
      </c>
      <c r="D56" s="84"/>
      <c r="E56" s="73">
        <f>+E44</f>
        <v>46256</v>
      </c>
      <c r="F56" s="48" t="s">
        <v>91</v>
      </c>
      <c r="G56" s="48">
        <v>10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0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U59" sqref="U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46256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243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C5 / 10.20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2026-09-15T13:51:40Z</cp:lastPrinted>
  <dcterms:created xsi:type="dcterms:W3CDTF">2014-05-26T07:40:11Z</dcterms:created>
  <dcterms:modified xsi:type="dcterms:W3CDTF">2026-09-15T13:52:22Z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