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84B77A5-5F0B-4EC0-A5C6-94D192F16554}" xr6:coauthVersionLast="47" xr6:coauthVersionMax="47" xr10:uidLastSave="{00000000-0000-0000-0000-000000000000}"/>
  <bookViews>
    <workbookView xWindow="27510" yWindow="14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J48" i="1"/>
  <c r="J47" i="1"/>
  <c r="J46" i="1"/>
  <c r="J45" i="1"/>
  <c r="J50" i="1" l="1"/>
  <c r="J49" i="1"/>
  <c r="D7" i="4" l="1"/>
  <c r="I9" i="4" l="1"/>
  <c r="D5" i="4"/>
  <c r="J58" i="1" l="1"/>
  <c r="J57" i="1"/>
  <c r="J56" i="1"/>
  <c r="J55" i="1"/>
  <c r="J54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<sst xmlns="http://schemas.openxmlformats.org/spreadsheetml/2006/main" count="110" uniqueCount="91">
  <si>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</si>
  <si>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</si>
  <si>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</si>
  <si>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</si>
  <si>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</si>
  <si>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</si>
  <si>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</si>
  <si>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</si>
  <si>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</si>
  <si>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</si>
  <si>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</si>
  <si>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</si>
  <si>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</si>
  <si>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</si>
  <si>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</si>
  <si>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</si>
  <si>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</si>
  <si>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</si>
  <si>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</si>
  <si>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</si>
  <si>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</si>
  <si>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</si>
  <si>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</si>
  <si>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</si>
  <si>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</si>
  <si>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</si>
  <si>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</si>
  <si>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</si>
  <si>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</si>
  <si>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</si>
  <si>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</si>
  <si>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</si>
  <si>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</si>
  <si>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</si>
  <si>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</si>
  <si>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</si>
  <si>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</si>
  <si>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</si>
  <si>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</si>
  <si>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</si>
  <si>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</si>
  <si>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</si>
  <si>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</si>
  <si>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</si>
  <si>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</si>
  <si>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</si>
  <si>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</si>
  <si>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</si>
  <si>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</si>
  <si>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</si>
  <si>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</si>
  <si>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</si>
  <si>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</si>
  <si>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</si>
  <si>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</si>
  <si>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</si>
  <si>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</si>
  <si>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</si>
  <si>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</si>
  <si>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</si>
  <si>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</si>
  <si>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</si>
  <si>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</si>
  <si>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</si>
  <si>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</si>
  <si>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</si>
  <si>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</si>
  <si>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</si>
  <si>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</si>
  <si>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</si>
  <si>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</si>
  <si>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</si>
  <si>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</si>
  <si>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</si>
  <si>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</si>
  <si>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</si>
  <si>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</si>
  <si>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</si>
  <si>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</si>
  <si>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</si>
  <si>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</si>
  <si>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</si>
  <si>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</si>
  <si>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</si>
  <si>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</si>
  <si>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265</t>
  </si>
  <si>
    <t>C3 / 20.20</t>
  </si>
  <si>
    <t>C3 Blok 20.20 kotunda, mekanik biriminin çalışmaları sırasında asma tavana zarar verilmiştir. Zarar gören alanlarda alçıpan ve saten tamiratları yapılmıştır.</t>
  </si>
  <si>
    <t>MUHAMMED ÇALAĞAN (USTA)</t>
  </si>
  <si>
    <t>MUSTAFA ÇALAĞAN (USTA YARDIMCISI)</t>
  </si>
  <si>
    <t>ESAT ÖZKANLI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</si>
</sst>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 indent="5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547689</xdr:colOff>
      <xdr:row>12</xdr:row>
      <xdr:rowOff>0</xdr:rowOff>
    </xdr:from>
    <xdr:to>
      <xdr:col>6</xdr:col>
      <xdr:colOff>300039</xdr:colOff>
      <xdr:row>53</xdr:row>
      <xdr:rowOff>33338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92520424-9080-406B-9DF5-B3A0A9607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5439" y="2881313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221439</xdr:colOff>
      <xdr:row>54</xdr:row>
      <xdr:rowOff>54750</xdr:rowOff>
    </xdr:from>
    <xdr:to>
      <xdr:col>10</xdr:col>
      <xdr:colOff>1426351</xdr:colOff>
      <xdr:row>103</xdr:row>
      <xdr:rowOff>40463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E9CC5C32-64C9-4F9C-A06D-7E3127FA8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7189" y="13270688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2</xdr:col>
      <xdr:colOff>585750</xdr:colOff>
      <xdr:row>54</xdr:row>
      <xdr:rowOff>38062</xdr:rowOff>
    </xdr:from>
    <xdr:to>
      <xdr:col>6</xdr:col>
      <xdr:colOff>338100</xdr:colOff>
      <xdr:row>103</xdr:row>
      <xdr:rowOff>23775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5E7A5FC6-AB10-4EE0-9570-C786D5E6B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500" y="132540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211876</xdr:colOff>
      <xdr:row>11</xdr:row>
      <xdr:rowOff>164250</xdr:rowOff>
    </xdr:from>
    <xdr:to>
      <xdr:col>10</xdr:col>
      <xdr:colOff>1416788</xdr:colOff>
      <xdr:row>53</xdr:row>
      <xdr:rowOff>7088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73CE8429-4991-4193-AA2E-8D3B10E4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7626" y="2855063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66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v>46284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09" t="s">
        <v>85</v>
      </c>
      <c r="E7" s="110"/>
      <c r="F7" s="111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">
        <v>86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8" t="s">
        <v>11</v>
      </c>
      <c r="C12" s="118"/>
      <c r="D12" s="119"/>
      <c r="E12" s="120"/>
      <c r="F12" s="121"/>
      <c r="G12" s="121"/>
      <c r="H12" s="121"/>
      <c r="I12" s="121"/>
      <c r="J12" s="121"/>
      <c r="K12" s="121"/>
      <c r="L12" s="122"/>
      <c r="M12" s="1"/>
    </row>
    <row r="13" spans="2:13" ht="15.75" thickBot="1" x14ac:dyDescent="0.3">
      <c r="B13" s="118"/>
      <c r="C13" s="118"/>
      <c r="D13" s="119"/>
      <c r="E13" s="123"/>
      <c r="F13" s="124"/>
      <c r="G13" s="124"/>
      <c r="H13" s="124"/>
      <c r="I13" s="124"/>
      <c r="J13" s="124"/>
      <c r="K13" s="124"/>
      <c r="L13" s="125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30" t="s">
        <v>37</v>
      </c>
      <c r="G15" s="130"/>
      <c r="H15" s="130"/>
      <c r="I15" s="130"/>
      <c r="J15" s="130"/>
      <c r="K15" s="130"/>
      <c r="L15" s="131"/>
      <c r="M15" s="1"/>
    </row>
    <row r="16" spans="2:13" ht="4.1500000000000004" customHeight="1" x14ac:dyDescent="0.25">
      <c r="B16" s="141"/>
      <c r="C16" s="141"/>
      <c r="D16" s="142"/>
      <c r="E16" s="132"/>
      <c r="F16" s="133"/>
      <c r="G16" s="133"/>
      <c r="H16" s="133"/>
      <c r="I16" s="133"/>
      <c r="J16" s="133"/>
      <c r="K16" s="133"/>
      <c r="L16" s="134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2"/>
      <c r="F18" s="133"/>
      <c r="G18" s="133"/>
      <c r="H18" s="133"/>
      <c r="I18" s="133"/>
      <c r="J18" s="133"/>
      <c r="K18" s="133"/>
      <c r="L18" s="134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2"/>
      <c r="F20" s="133"/>
      <c r="G20" s="133"/>
      <c r="H20" s="133"/>
      <c r="I20" s="133"/>
      <c r="J20" s="133"/>
      <c r="K20" s="133"/>
      <c r="L20" s="134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2"/>
      <c r="F22" s="133"/>
      <c r="G22" s="133"/>
      <c r="H22" s="133"/>
      <c r="I22" s="133"/>
      <c r="J22" s="133"/>
      <c r="K22" s="133"/>
      <c r="L22" s="134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2"/>
      <c r="F24" s="133"/>
      <c r="G24" s="133"/>
      <c r="H24" s="133"/>
      <c r="I24" s="133"/>
      <c r="J24" s="133"/>
      <c r="K24" s="133"/>
      <c r="L24" s="134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6" t="s">
        <v>12</v>
      </c>
      <c r="C38" s="127"/>
      <c r="D38" s="139" t="s">
        <v>13</v>
      </c>
      <c r="E38" s="131"/>
      <c r="F38" s="139" t="s">
        <v>30</v>
      </c>
      <c r="G38" s="130"/>
      <c r="H38" s="131"/>
      <c r="I38" s="130" t="s">
        <v>18</v>
      </c>
      <c r="J38" s="130"/>
      <c r="K38" s="130"/>
      <c r="L38" s="131"/>
      <c r="M38" s="1"/>
    </row>
    <row r="39" spans="2:13" ht="15.75" thickBot="1" x14ac:dyDescent="0.3">
      <c r="B39" s="128"/>
      <c r="C39" s="129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01"/>
      <c r="I41" s="101"/>
      <c r="J41" s="101"/>
      <c r="K41" s="101"/>
      <c r="L41" s="102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5" t="s">
        <v>4</v>
      </c>
      <c r="I42" s="85"/>
      <c r="J42" s="85" t="s">
        <v>5</v>
      </c>
      <c r="K42" s="85"/>
      <c r="L42" s="86"/>
    </row>
    <row r="43" spans="2:13" ht="25.15" customHeight="1" x14ac:dyDescent="0.25">
      <c r="B43" s="2">
        <v>1</v>
      </c>
      <c r="C43" s="106" t="s">
        <v>88</v>
      </c>
      <c r="D43" s="107"/>
      <c r="E43" s="60">
        <f t="shared" ref="E43:E45" si="0">+$D$5</f>
        <v>46284</v>
      </c>
      <c r="F43" s="61" t="s">
        <v>82</v>
      </c>
      <c r="G43" s="61">
        <v>1</v>
      </c>
      <c r="H43" s="105"/>
      <c r="I43" s="105"/>
      <c r="J43" s="103">
        <f>+H43*G43</f>
        <v>0</v>
      </c>
      <c r="K43" s="103"/>
      <c r="L43" s="104"/>
    </row>
    <row r="44" spans="2:13" ht="25.15" customHeight="1" x14ac:dyDescent="0.25">
      <c r="B44" s="2">
        <v>2</v>
      </c>
      <c r="C44" s="106" t="s">
        <v>89</v>
      </c>
      <c r="D44" s="107"/>
      <c r="E44" s="60">
        <f t="shared" si="0"/>
        <v>46284</v>
      </c>
      <c r="F44" s="62" t="s">
        <v>82</v>
      </c>
      <c r="G44" s="62">
        <v>1</v>
      </c>
      <c r="H44" s="105"/>
      <c r="I44" s="105"/>
      <c r="J44" s="103">
        <f t="shared" ref="J44:J58" si="1">+H44*G44</f>
        <v>0</v>
      </c>
      <c r="K44" s="103"/>
      <c r="L44" s="104"/>
    </row>
    <row r="45" spans="2:13" ht="25.15" customHeight="1" x14ac:dyDescent="0.25">
      <c r="B45" s="2">
        <v>3</v>
      </c>
      <c r="C45" s="106" t="s">
        <v>90</v>
      </c>
      <c r="D45" s="107"/>
      <c r="E45" s="60">
        <f t="shared" si="0"/>
        <v>46284</v>
      </c>
      <c r="F45" s="84" t="s">
        <v>82</v>
      </c>
      <c r="G45" s="84">
        <v>1</v>
      </c>
      <c r="H45" s="105"/>
      <c r="I45" s="105"/>
      <c r="J45" s="103">
        <f t="shared" ref="J45:J50" si="2">+H45*G45</f>
        <v>0</v>
      </c>
      <c r="K45" s="103"/>
      <c r="L45" s="104"/>
    </row>
    <row r="46" spans="2:13" ht="25.15" customHeight="1" x14ac:dyDescent="0.25">
      <c r="B46" s="2">
        <v>4</v>
      </c>
      <c r="C46" s="106"/>
      <c r="D46" s="107"/>
      <c r="E46" s="60"/>
      <c r="F46" s="64"/>
      <c r="G46" s="64"/>
      <c r="H46" s="105"/>
      <c r="I46" s="105"/>
      <c r="J46" s="103">
        <f t="shared" ref="J46:J48" si="3">+H46*G46</f>
        <v>0</v>
      </c>
      <c r="K46" s="103"/>
      <c r="L46" s="104"/>
    </row>
    <row r="47" spans="2:13" ht="25.15" customHeight="1" x14ac:dyDescent="0.25">
      <c r="B47" s="2">
        <v>5</v>
      </c>
      <c r="C47" s="106"/>
      <c r="D47" s="107"/>
      <c r="E47" s="60"/>
      <c r="F47" s="64"/>
      <c r="G47" s="64"/>
      <c r="H47" s="105"/>
      <c r="I47" s="105"/>
      <c r="J47" s="103">
        <f t="shared" si="3"/>
        <v>0</v>
      </c>
      <c r="K47" s="103"/>
      <c r="L47" s="104"/>
    </row>
    <row r="48" spans="2:13" ht="25.15" customHeight="1" x14ac:dyDescent="0.25">
      <c r="B48" s="2">
        <v>6</v>
      </c>
      <c r="C48" s="106"/>
      <c r="D48" s="107"/>
      <c r="E48" s="60"/>
      <c r="F48" s="64"/>
      <c r="G48" s="64"/>
      <c r="H48" s="105"/>
      <c r="I48" s="105"/>
      <c r="J48" s="103">
        <f t="shared" si="3"/>
        <v>0</v>
      </c>
      <c r="K48" s="103"/>
      <c r="L48" s="104"/>
    </row>
    <row r="49" spans="2:12" ht="25.15" customHeight="1" x14ac:dyDescent="0.25">
      <c r="B49" s="2">
        <v>7</v>
      </c>
      <c r="C49" s="106"/>
      <c r="D49" s="107"/>
      <c r="E49" s="60"/>
      <c r="F49" s="64"/>
      <c r="G49" s="64"/>
      <c r="H49" s="105"/>
      <c r="I49" s="105"/>
      <c r="J49" s="103">
        <f t="shared" si="2"/>
        <v>0</v>
      </c>
      <c r="K49" s="103"/>
      <c r="L49" s="104"/>
    </row>
    <row r="50" spans="2:12" ht="25.15" customHeight="1" thickBot="1" x14ac:dyDescent="0.3">
      <c r="B50" s="2">
        <v>8</v>
      </c>
      <c r="C50" s="106"/>
      <c r="D50" s="107"/>
      <c r="E50" s="60"/>
      <c r="F50" s="64"/>
      <c r="G50" s="64"/>
      <c r="H50" s="105"/>
      <c r="I50" s="105"/>
      <c r="J50" s="103">
        <f t="shared" si="2"/>
        <v>0</v>
      </c>
      <c r="K50" s="103"/>
      <c r="L50" s="104"/>
    </row>
    <row r="51" spans="2:12" ht="25.15" customHeight="1" thickBot="1" x14ac:dyDescent="0.3">
      <c r="B51" s="99" t="s">
        <v>74</v>
      </c>
      <c r="C51" s="99"/>
      <c r="D51" s="99"/>
      <c r="E51" s="99"/>
      <c r="F51" s="99"/>
      <c r="G51" s="99"/>
      <c r="H51" s="99"/>
      <c r="I51" s="99"/>
      <c r="J51" s="94">
        <f>+SUM(J43:L50)</f>
        <v>0</v>
      </c>
      <c r="K51" s="95"/>
      <c r="L51" s="96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01"/>
      <c r="I52" s="101"/>
      <c r="J52" s="101"/>
      <c r="K52" s="101"/>
      <c r="L52" s="102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5" t="s">
        <v>4</v>
      </c>
      <c r="I53" s="85"/>
      <c r="J53" s="85" t="s">
        <v>5</v>
      </c>
      <c r="K53" s="85"/>
      <c r="L53" s="86"/>
    </row>
    <row r="54" spans="2:12" ht="25.15" customHeight="1" x14ac:dyDescent="0.25">
      <c r="B54" s="2">
        <v>1</v>
      </c>
      <c r="C54" s="100"/>
      <c r="D54" s="91"/>
      <c r="E54" s="60"/>
      <c r="F54" s="48"/>
      <c r="G54" s="48"/>
      <c r="H54" s="90"/>
      <c r="I54" s="91"/>
      <c r="J54" s="90">
        <f t="shared" si="1"/>
        <v>0</v>
      </c>
      <c r="K54" s="91"/>
      <c r="L54" s="92"/>
    </row>
    <row r="55" spans="2:12" ht="25.15" customHeight="1" x14ac:dyDescent="0.25">
      <c r="B55" s="2">
        <v>2</v>
      </c>
      <c r="C55" s="100"/>
      <c r="D55" s="91"/>
      <c r="E55" s="60"/>
      <c r="F55" s="63"/>
      <c r="G55" s="63"/>
      <c r="H55" s="90"/>
      <c r="I55" s="91"/>
      <c r="J55" s="90">
        <f t="shared" si="1"/>
        <v>0</v>
      </c>
      <c r="K55" s="91"/>
      <c r="L55" s="92"/>
    </row>
    <row r="56" spans="2:12" ht="25.15" customHeight="1" x14ac:dyDescent="0.25">
      <c r="B56" s="2">
        <v>3</v>
      </c>
      <c r="C56" s="100"/>
      <c r="D56" s="91"/>
      <c r="E56" s="59"/>
      <c r="F56" s="48"/>
      <c r="G56" s="48"/>
      <c r="H56" s="90"/>
      <c r="I56" s="91"/>
      <c r="J56" s="90">
        <f t="shared" si="1"/>
        <v>0</v>
      </c>
      <c r="K56" s="91"/>
      <c r="L56" s="92"/>
    </row>
    <row r="57" spans="2:12" ht="25.15" customHeight="1" x14ac:dyDescent="0.25">
      <c r="B57" s="2">
        <v>4</v>
      </c>
      <c r="C57" s="100"/>
      <c r="D57" s="91"/>
      <c r="E57" s="59"/>
      <c r="F57" s="48"/>
      <c r="G57" s="48"/>
      <c r="H57" s="90"/>
      <c r="I57" s="91"/>
      <c r="J57" s="90">
        <f t="shared" si="1"/>
        <v>0</v>
      </c>
      <c r="K57" s="91"/>
      <c r="L57" s="92"/>
    </row>
    <row r="58" spans="2:12" ht="25.15" customHeight="1" thickBot="1" x14ac:dyDescent="0.3">
      <c r="B58" s="2">
        <v>5</v>
      </c>
      <c r="C58" s="100"/>
      <c r="D58" s="91"/>
      <c r="E58" s="47"/>
      <c r="F58" s="48"/>
      <c r="G58" s="48"/>
      <c r="H58" s="90"/>
      <c r="I58" s="91"/>
      <c r="J58" s="90">
        <f t="shared" si="1"/>
        <v>0</v>
      </c>
      <c r="K58" s="91"/>
      <c r="L58" s="92"/>
    </row>
    <row r="59" spans="2:12" ht="25.15" customHeight="1" thickBot="1" x14ac:dyDescent="0.3">
      <c r="B59" s="99" t="s">
        <v>74</v>
      </c>
      <c r="C59" s="99"/>
      <c r="D59" s="99"/>
      <c r="E59" s="99"/>
      <c r="F59" s="99"/>
      <c r="G59" s="99"/>
      <c r="H59" s="99"/>
      <c r="I59" s="99"/>
      <c r="J59" s="94">
        <f>+SUM(J54:L58)</f>
        <v>0</v>
      </c>
      <c r="K59" s="95"/>
      <c r="L59" s="96"/>
    </row>
    <row r="60" spans="2:12" ht="25.15" customHeight="1" thickBot="1" x14ac:dyDescent="0.3">
      <c r="B60" s="99" t="s">
        <v>6</v>
      </c>
      <c r="C60" s="99"/>
      <c r="D60" s="99"/>
      <c r="E60" s="99"/>
      <c r="F60" s="99"/>
      <c r="G60" s="99"/>
      <c r="H60" s="99"/>
      <c r="I60" s="99"/>
      <c r="J60" s="94">
        <f>+J59+J51</f>
        <v>0</v>
      </c>
      <c r="K60" s="95"/>
      <c r="L60" s="96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3"/>
      <c r="I61" s="93"/>
      <c r="J61" s="97"/>
      <c r="K61" s="98"/>
      <c r="L61" s="98"/>
    </row>
    <row r="62" spans="2:12" ht="21" customHeight="1" x14ac:dyDescent="0.25">
      <c r="B62" s="87" t="s">
        <v>15</v>
      </c>
      <c r="C62" s="88"/>
      <c r="D62" s="88"/>
      <c r="E62" s="159"/>
      <c r="F62" s="88" t="s">
        <v>14</v>
      </c>
      <c r="G62" s="88"/>
      <c r="H62" s="159"/>
      <c r="I62" s="87" t="s">
        <v>22</v>
      </c>
      <c r="J62" s="88"/>
      <c r="K62" s="88"/>
      <c r="L62" s="89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160" t="s">
        <v>29</v>
      </c>
      <c r="G64" s="161"/>
      <c r="H64" s="162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63"/>
      <c r="G65" s="161"/>
      <c r="H65" s="162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160"/>
      <c r="G66" s="161"/>
      <c r="H66" s="162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63"/>
      <c r="G67" s="161"/>
      <c r="H67" s="162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81" t="s">
        <v>27</v>
      </c>
      <c r="C73" s="88"/>
      <c r="D73" s="88"/>
      <c r="E73" s="159"/>
      <c r="F73" s="88" t="s">
        <v>68</v>
      </c>
      <c r="G73" s="88"/>
      <c r="H73" s="159"/>
      <c r="I73" s="87" t="s">
        <v>31</v>
      </c>
      <c r="J73" s="88"/>
      <c r="K73" s="88"/>
      <c r="L73" s="89"/>
    </row>
    <row r="74" spans="2:12" ht="19.899999999999999" customHeight="1" x14ac:dyDescent="0.25">
      <c r="B74" s="153"/>
      <c r="C74" s="154"/>
      <c r="D74" s="154"/>
      <c r="E74" s="155"/>
      <c r="F74" s="166" t="s">
        <v>75</v>
      </c>
      <c r="G74" s="167"/>
      <c r="H74" s="168"/>
      <c r="I74" s="172" t="s">
        <v>25</v>
      </c>
      <c r="J74" s="173"/>
      <c r="K74" s="173"/>
      <c r="L74" s="174"/>
    </row>
    <row r="75" spans="2:12" ht="19.899999999999999" customHeight="1" x14ac:dyDescent="0.25">
      <c r="B75" s="156"/>
      <c r="C75" s="157"/>
      <c r="D75" s="157"/>
      <c r="E75" s="158"/>
      <c r="F75" s="169"/>
      <c r="G75" s="170"/>
      <c r="H75" s="171"/>
      <c r="I75" s="175"/>
      <c r="J75" s="176"/>
      <c r="K75" s="176"/>
      <c r="L75" s="177"/>
    </row>
    <row r="76" spans="2:12" ht="19.899999999999999" customHeight="1" x14ac:dyDescent="0.25">
      <c r="B76" s="156"/>
      <c r="C76" s="157"/>
      <c r="D76" s="157"/>
      <c r="E76" s="158"/>
      <c r="F76" s="169"/>
      <c r="G76" s="170"/>
      <c r="H76" s="171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78"/>
      <c r="J77" s="179"/>
      <c r="K77" s="179"/>
      <c r="L77" s="180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78"/>
      <c r="J78" s="179"/>
      <c r="K78" s="179"/>
      <c r="L78" s="180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7" t="s">
        <v>24</v>
      </c>
      <c r="C84" s="88"/>
      <c r="D84" s="88"/>
      <c r="E84" s="159"/>
      <c r="F84" s="88" t="s">
        <v>64</v>
      </c>
      <c r="G84" s="88"/>
      <c r="H84" s="159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64" t="s">
        <v>62</v>
      </c>
      <c r="D86" s="164"/>
      <c r="E86" s="16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4"/>
      <c r="D87" s="164"/>
      <c r="E87" s="16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64"/>
      <c r="D89" s="164"/>
      <c r="E89" s="165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64"/>
      <c r="D90" s="164"/>
      <c r="E90" s="165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7" t="s">
        <v>57</v>
      </c>
      <c r="C94" s="88"/>
      <c r="D94" s="88"/>
      <c r="E94" s="159"/>
      <c r="F94" s="88" t="s">
        <v>32</v>
      </c>
      <c r="G94" s="88"/>
      <c r="H94" s="159"/>
      <c r="I94" s="87" t="s">
        <v>28</v>
      </c>
      <c r="J94" s="88"/>
      <c r="K94" s="88"/>
      <c r="L94" s="89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64"/>
      <c r="D96" s="164"/>
      <c r="E96" s="16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4"/>
      <c r="D97" s="164"/>
      <c r="E97" s="16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64"/>
      <c r="D99" s="164"/>
      <c r="E99" s="165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64"/>
      <c r="D100" s="164"/>
      <c r="E100" s="165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52" t="s">
        <v>73</v>
      </c>
      <c r="D105" s="152"/>
      <c r="E105" s="152"/>
      <c r="F105" s="152"/>
      <c r="G105" s="152"/>
      <c r="H105" s="152"/>
      <c r="I105" s="152"/>
      <c r="J105" s="152"/>
      <c r="K105" s="152"/>
      <c r="L105" s="4"/>
    </row>
    <row r="106" spans="2:12" ht="16.149999999999999" customHeight="1" x14ac:dyDescent="0.25">
      <c r="B106" s="4"/>
      <c r="C106" s="152"/>
      <c r="D106" s="152"/>
      <c r="E106" s="152"/>
      <c r="F106" s="152"/>
      <c r="G106" s="152"/>
      <c r="H106" s="152"/>
      <c r="I106" s="152"/>
      <c r="J106" s="152"/>
      <c r="K106" s="152"/>
      <c r="L106" s="4"/>
    </row>
    <row r="107" spans="2:12" ht="16.149999999999999" customHeight="1" x14ac:dyDescent="0.25">
      <c r="B107" s="4"/>
      <c r="C107" s="152"/>
      <c r="D107" s="152"/>
      <c r="E107" s="152"/>
      <c r="F107" s="152"/>
      <c r="G107" s="152"/>
      <c r="H107" s="152"/>
      <c r="I107" s="152"/>
      <c r="J107" s="152"/>
      <c r="K107" s="152"/>
      <c r="L107" s="4"/>
    </row>
    <row r="108" spans="2:12" ht="16.149999999999999" customHeight="1" x14ac:dyDescent="0.25">
      <c r="B108" s="4"/>
      <c r="C108" s="152"/>
      <c r="D108" s="152"/>
      <c r="E108" s="152"/>
      <c r="F108" s="152"/>
      <c r="G108" s="152"/>
      <c r="H108" s="152"/>
      <c r="I108" s="152"/>
      <c r="J108" s="152"/>
      <c r="K108" s="152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F64:H65"/>
    <mergeCell ref="F62:H62"/>
    <mergeCell ref="B62:E62"/>
    <mergeCell ref="F73:H73"/>
    <mergeCell ref="B73:E73"/>
    <mergeCell ref="H45:I45"/>
    <mergeCell ref="H46:I46"/>
    <mergeCell ref="H47:I47"/>
    <mergeCell ref="H49:I49"/>
    <mergeCell ref="C49:D49"/>
    <mergeCell ref="C50:D50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4:D54"/>
    <mergeCell ref="B51:I51"/>
    <mergeCell ref="H54:I54"/>
    <mergeCell ref="H52:I52"/>
    <mergeCell ref="H53:I53"/>
    <mergeCell ref="H43:I43"/>
    <mergeCell ref="C45:D45"/>
    <mergeCell ref="C46:D46"/>
    <mergeCell ref="C44:D44"/>
    <mergeCell ref="C47:D47"/>
    <mergeCell ref="C48:D48"/>
    <mergeCell ref="H41:I41"/>
    <mergeCell ref="J51:L51"/>
    <mergeCell ref="J52:L52"/>
    <mergeCell ref="J43:L43"/>
    <mergeCell ref="J50:L50"/>
    <mergeCell ref="H44:I44"/>
    <mergeCell ref="J44:L44"/>
    <mergeCell ref="H48:I48"/>
    <mergeCell ref="J48:L48"/>
    <mergeCell ref="H50:I50"/>
    <mergeCell ref="J45:L45"/>
    <mergeCell ref="J46:L46"/>
    <mergeCell ref="J47:L47"/>
    <mergeCell ref="J49:L49"/>
    <mergeCell ref="J53:L53"/>
    <mergeCell ref="I62:L62"/>
    <mergeCell ref="J58:L58"/>
    <mergeCell ref="H61:I61"/>
    <mergeCell ref="J60:L60"/>
    <mergeCell ref="J61:L61"/>
    <mergeCell ref="B60:I60"/>
    <mergeCell ref="H58:I58"/>
    <mergeCell ref="B59:I59"/>
    <mergeCell ref="J59:L59"/>
    <mergeCell ref="C56:D56"/>
    <mergeCell ref="C57:D57"/>
    <mergeCell ref="C58:D58"/>
    <mergeCell ref="C55:D55"/>
    <mergeCell ref="J54:L54"/>
    <mergeCell ref="H56:I56"/>
    <mergeCell ref="J56:L56"/>
    <mergeCell ref="H57:I57"/>
    <mergeCell ref="J57:L57"/>
    <mergeCell ref="H55:I55"/>
    <mergeCell ref="J55:L55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L82" sqref="L8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8" t="s">
        <v>83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8" t="s">
        <v>8</v>
      </c>
      <c r="C5" s="118"/>
      <c r="D5" s="115">
        <f>'İLAVE İS TUT.'!D5</f>
        <v>46284</v>
      </c>
      <c r="E5" s="116"/>
      <c r="F5" s="117"/>
      <c r="G5" s="42"/>
      <c r="H5" s="43" t="s">
        <v>35</v>
      </c>
      <c r="I5" s="112" t="s">
        <v>65</v>
      </c>
      <c r="J5" s="113"/>
      <c r="K5" s="113"/>
      <c r="L5" s="11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8" t="s">
        <v>9</v>
      </c>
      <c r="C7" s="119"/>
      <c r="D7" s="182" t="str">
        <f>'İLAVE İS TUT.'!D7</f>
        <v>265</v>
      </c>
      <c r="E7" s="113"/>
      <c r="F7" s="114"/>
      <c r="G7" s="42"/>
      <c r="H7" s="43" t="s">
        <v>34</v>
      </c>
      <c r="I7" s="112" t="s">
        <v>80</v>
      </c>
      <c r="J7" s="113"/>
      <c r="K7" s="113"/>
      <c r="L7" s="11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8" t="s">
        <v>10</v>
      </c>
      <c r="C9" s="119"/>
      <c r="D9" s="112" t="s">
        <v>81</v>
      </c>
      <c r="E9" s="113"/>
      <c r="F9" s="114"/>
      <c r="G9" s="42"/>
      <c r="H9" s="43" t="s">
        <v>36</v>
      </c>
      <c r="I9" s="112" t="str">
        <f>'İLAVE İS TUT.'!I9</f>
        <v>C3 / 20.20</v>
      </c>
      <c r="J9" s="113"/>
      <c r="K9" s="113"/>
      <c r="L9" s="11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4"/>
      <c r="C12" s="184"/>
      <c r="D12" s="184"/>
      <c r="E12" s="185"/>
      <c r="F12" s="185"/>
      <c r="G12" s="185"/>
      <c r="H12" s="185"/>
      <c r="I12" s="185"/>
      <c r="J12" s="185"/>
      <c r="K12" s="185"/>
      <c r="L12" s="185"/>
      <c r="M12" s="1"/>
    </row>
    <row r="13" spans="2:13" x14ac:dyDescent="0.25">
      <c r="B13" s="184"/>
      <c r="C13" s="184"/>
      <c r="D13" s="184"/>
      <c r="E13" s="185"/>
      <c r="F13" s="185"/>
      <c r="G13" s="185"/>
      <c r="H13" s="185"/>
      <c r="I13" s="185"/>
      <c r="J13" s="185"/>
      <c r="K13" s="185"/>
      <c r="L13" s="185"/>
      <c r="M13" s="1"/>
    </row>
    <row r="14" spans="2:13" ht="6" customHeight="1" x14ac:dyDescent="0.25"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1"/>
    </row>
    <row r="15" spans="2:13" ht="25.9" customHeight="1" x14ac:dyDescent="0.25">
      <c r="B15" s="186"/>
      <c r="C15" s="186"/>
      <c r="D15" s="186"/>
      <c r="E15" s="79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86"/>
      <c r="C16" s="186"/>
      <c r="D16" s="186"/>
      <c r="E16" s="183"/>
      <c r="F16" s="183"/>
      <c r="G16" s="183"/>
      <c r="H16" s="183"/>
      <c r="I16" s="183"/>
      <c r="J16" s="183"/>
      <c r="K16" s="183"/>
      <c r="L16" s="183"/>
      <c r="M16" s="1"/>
    </row>
    <row r="17" spans="2:13" ht="25.9" customHeight="1" x14ac:dyDescent="0.25">
      <c r="B17" s="186"/>
      <c r="C17" s="186"/>
      <c r="D17" s="186"/>
      <c r="E17" s="79"/>
      <c r="F17" s="79"/>
      <c r="G17" s="79"/>
      <c r="H17" s="79"/>
      <c r="I17" s="80"/>
      <c r="J17" s="79"/>
      <c r="K17" s="80"/>
      <c r="L17" s="79"/>
      <c r="M17" s="1"/>
    </row>
    <row r="18" spans="2:13" ht="4.1500000000000004" customHeight="1" x14ac:dyDescent="0.25">
      <c r="B18" s="186"/>
      <c r="C18" s="186"/>
      <c r="D18" s="186"/>
      <c r="E18" s="183"/>
      <c r="F18" s="183"/>
      <c r="G18" s="183"/>
      <c r="H18" s="183"/>
      <c r="I18" s="183"/>
      <c r="J18" s="183"/>
      <c r="K18" s="183"/>
      <c r="L18" s="183"/>
      <c r="M18" s="1"/>
    </row>
    <row r="19" spans="2:13" ht="25.9" customHeight="1" x14ac:dyDescent="0.25">
      <c r="B19" s="186"/>
      <c r="C19" s="186"/>
      <c r="D19" s="186"/>
      <c r="E19" s="79"/>
      <c r="F19" s="79"/>
      <c r="G19" s="79"/>
      <c r="H19" s="79"/>
      <c r="I19" s="183"/>
      <c r="J19" s="183"/>
      <c r="K19" s="183"/>
      <c r="L19" s="79"/>
      <c r="M19" s="1"/>
    </row>
    <row r="20" spans="2:13" ht="4.1500000000000004" customHeight="1" x14ac:dyDescent="0.25">
      <c r="B20" s="186"/>
      <c r="C20" s="186"/>
      <c r="D20" s="186"/>
      <c r="E20" s="183"/>
      <c r="F20" s="183"/>
      <c r="G20" s="183"/>
      <c r="H20" s="183"/>
      <c r="I20" s="183"/>
      <c r="J20" s="183"/>
      <c r="K20" s="183"/>
      <c r="L20" s="183"/>
      <c r="M20" s="1"/>
    </row>
    <row r="21" spans="2:13" ht="25.9" customHeight="1" x14ac:dyDescent="0.25">
      <c r="B21" s="186"/>
      <c r="C21" s="186"/>
      <c r="D21" s="186"/>
      <c r="E21" s="79"/>
      <c r="F21" s="79"/>
      <c r="G21" s="79"/>
      <c r="H21" s="79"/>
      <c r="I21" s="183"/>
      <c r="J21" s="183"/>
      <c r="K21" s="183"/>
      <c r="L21" s="79"/>
      <c r="M21" s="1"/>
    </row>
    <row r="22" spans="2:13" ht="4.1500000000000004" customHeight="1" x14ac:dyDescent="0.25">
      <c r="B22" s="186"/>
      <c r="C22" s="186"/>
      <c r="D22" s="186"/>
      <c r="E22" s="183"/>
      <c r="F22" s="183"/>
      <c r="G22" s="183"/>
      <c r="H22" s="183"/>
      <c r="I22" s="183"/>
      <c r="J22" s="183"/>
      <c r="K22" s="183"/>
      <c r="L22" s="183"/>
      <c r="M22" s="1"/>
    </row>
    <row r="23" spans="2:13" ht="25.9" customHeight="1" x14ac:dyDescent="0.25">
      <c r="B23" s="186"/>
      <c r="C23" s="186"/>
      <c r="D23" s="186"/>
      <c r="E23" s="79"/>
      <c r="F23" s="185"/>
      <c r="G23" s="185"/>
      <c r="H23" s="185"/>
      <c r="I23" s="183"/>
      <c r="J23" s="183"/>
      <c r="K23" s="183"/>
      <c r="L23" s="79"/>
      <c r="M23" s="1"/>
    </row>
    <row r="24" spans="2:13" ht="4.1500000000000004" customHeight="1" x14ac:dyDescent="0.25">
      <c r="B24" s="186"/>
      <c r="C24" s="186"/>
      <c r="D24" s="186"/>
      <c r="E24" s="183"/>
      <c r="F24" s="183"/>
      <c r="G24" s="183"/>
      <c r="H24" s="183"/>
      <c r="I24" s="183"/>
      <c r="J24" s="183"/>
      <c r="K24" s="183"/>
      <c r="L24" s="183"/>
      <c r="M24" s="1"/>
    </row>
    <row r="25" spans="2:13" ht="25.9" customHeight="1" x14ac:dyDescent="0.25">
      <c r="B25" s="186"/>
      <c r="C25" s="186"/>
      <c r="D25" s="186"/>
      <c r="E25" s="79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81"/>
      <c r="C26" s="81"/>
      <c r="D26" s="81"/>
      <c r="E26" s="183"/>
      <c r="F26" s="183"/>
      <c r="G26" s="183"/>
      <c r="H26" s="183"/>
      <c r="I26" s="183"/>
      <c r="J26" s="183"/>
      <c r="K26" s="183"/>
      <c r="L26" s="183"/>
      <c r="M26" s="1"/>
    </row>
    <row r="27" spans="2:13" x14ac:dyDescent="0.25">
      <c r="B27" s="186"/>
      <c r="C27" s="186"/>
      <c r="D27" s="186"/>
      <c r="E27" s="82"/>
      <c r="F27" s="83"/>
      <c r="G27" s="83"/>
      <c r="H27" s="83"/>
      <c r="I27" s="83"/>
      <c r="J27" s="83"/>
      <c r="K27" s="83"/>
      <c r="L27" s="83"/>
      <c r="M27" s="1"/>
    </row>
    <row r="28" spans="2:13" ht="57" customHeight="1" x14ac:dyDescent="0.25">
      <c r="B28" s="186"/>
      <c r="C28" s="186"/>
      <c r="D28" s="186"/>
      <c r="E28" s="185"/>
      <c r="F28" s="185"/>
      <c r="G28" s="185"/>
      <c r="H28" s="185"/>
      <c r="I28" s="185"/>
      <c r="J28" s="185"/>
      <c r="K28" s="185"/>
      <c r="L28" s="185"/>
      <c r="M28" s="1"/>
    </row>
    <row r="29" spans="2:13" x14ac:dyDescent="0.25">
      <c r="B29" s="186"/>
      <c r="C29" s="186"/>
      <c r="D29" s="186"/>
      <c r="E29" s="185"/>
      <c r="F29" s="185"/>
      <c r="G29" s="185"/>
      <c r="H29" s="185"/>
      <c r="I29" s="185"/>
      <c r="J29" s="185"/>
      <c r="K29" s="185"/>
      <c r="L29" s="185"/>
      <c r="M29" s="1"/>
    </row>
    <row r="30" spans="2:13" x14ac:dyDescent="0.25">
      <c r="B30" s="186"/>
      <c r="C30" s="186"/>
      <c r="D30" s="186"/>
      <c r="E30" s="185"/>
      <c r="F30" s="185"/>
      <c r="G30" s="185"/>
      <c r="H30" s="185"/>
      <c r="I30" s="185"/>
      <c r="J30" s="185"/>
      <c r="K30" s="185"/>
      <c r="L30" s="185"/>
      <c r="M30" s="1"/>
    </row>
    <row r="31" spans="2:13" x14ac:dyDescent="0.25">
      <c r="B31" s="186"/>
      <c r="C31" s="186"/>
      <c r="D31" s="186"/>
      <c r="E31" s="185"/>
      <c r="F31" s="185"/>
      <c r="G31" s="185"/>
      <c r="H31" s="185"/>
      <c r="I31" s="185"/>
      <c r="J31" s="185"/>
      <c r="K31" s="185"/>
      <c r="L31" s="185"/>
      <c r="M31" s="1"/>
    </row>
    <row r="32" spans="2:13" x14ac:dyDescent="0.25">
      <c r="B32" s="186"/>
      <c r="C32" s="186"/>
      <c r="D32" s="186"/>
      <c r="E32" s="82"/>
      <c r="F32" s="83"/>
      <c r="G32" s="83"/>
      <c r="H32" s="83"/>
      <c r="I32" s="83"/>
      <c r="J32" s="83"/>
      <c r="K32" s="83"/>
      <c r="L32" s="83"/>
      <c r="M32" s="1"/>
    </row>
    <row r="33" spans="2:13" x14ac:dyDescent="0.25">
      <c r="B33" s="186"/>
      <c r="C33" s="186"/>
      <c r="D33" s="186"/>
      <c r="E33" s="83"/>
      <c r="F33" s="83"/>
      <c r="G33" s="83"/>
      <c r="H33" s="83"/>
      <c r="I33" s="83"/>
      <c r="J33" s="83"/>
      <c r="K33" s="83"/>
      <c r="L33" s="83"/>
      <c r="M33" s="1"/>
    </row>
    <row r="34" spans="2:13" x14ac:dyDescent="0.25">
      <c r="B34" s="186"/>
      <c r="C34" s="186"/>
      <c r="D34" s="186"/>
      <c r="E34" s="83"/>
      <c r="F34" s="83"/>
      <c r="G34" s="83"/>
      <c r="H34" s="83"/>
      <c r="I34" s="83"/>
      <c r="J34" s="83"/>
      <c r="K34" s="83"/>
      <c r="L34" s="83"/>
      <c r="M34" s="1"/>
    </row>
    <row r="35" spans="2:13" x14ac:dyDescent="0.25">
      <c r="B35" s="186"/>
      <c r="C35" s="186"/>
      <c r="D35" s="186"/>
      <c r="E35" s="83"/>
      <c r="F35" s="83"/>
      <c r="G35" s="83"/>
      <c r="H35" s="83"/>
      <c r="I35" s="83"/>
      <c r="J35" s="83"/>
      <c r="K35" s="83"/>
      <c r="L35" s="83"/>
      <c r="M35" s="1"/>
    </row>
    <row r="36" spans="2:13" x14ac:dyDescent="0.25">
      <c r="B36" s="186"/>
      <c r="C36" s="186"/>
      <c r="D36" s="186"/>
      <c r="E36" s="83"/>
      <c r="F36" s="83"/>
      <c r="G36" s="83"/>
      <c r="H36" s="83"/>
      <c r="I36" s="83"/>
      <c r="J36" s="83"/>
      <c r="K36" s="83"/>
      <c r="L36" s="83"/>
      <c r="M36" s="1"/>
    </row>
    <row r="37" spans="2:13" ht="16.899999999999999" customHeight="1" x14ac:dyDescent="0.25"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5"/>
      <c r="C40" s="66"/>
      <c r="D40" s="66"/>
      <c r="E40" s="66"/>
      <c r="F40" s="66"/>
      <c r="G40" s="66"/>
      <c r="H40" s="66"/>
      <c r="I40" s="66"/>
      <c r="J40" s="66"/>
      <c r="K40" s="66"/>
      <c r="L40" s="66"/>
    </row>
    <row r="41" spans="2:13" ht="25.15" customHeight="1" x14ac:dyDescent="0.25">
      <c r="B41" s="67"/>
      <c r="C41" s="68"/>
      <c r="D41" s="67"/>
      <c r="E41" s="67"/>
      <c r="F41" s="67"/>
      <c r="G41" s="67"/>
      <c r="H41" s="190"/>
      <c r="I41" s="190"/>
      <c r="J41" s="190"/>
      <c r="K41" s="190"/>
      <c r="L41" s="190"/>
    </row>
    <row r="42" spans="2:13" ht="25.15" customHeight="1" x14ac:dyDescent="0.25">
      <c r="B42" s="67"/>
      <c r="C42" s="68"/>
      <c r="D42" s="67"/>
      <c r="E42" s="67"/>
      <c r="F42" s="67"/>
      <c r="G42" s="67"/>
      <c r="H42" s="190"/>
      <c r="I42" s="190"/>
      <c r="J42" s="190"/>
      <c r="K42" s="190"/>
      <c r="L42" s="190"/>
    </row>
    <row r="43" spans="2:13" ht="25.15" customHeight="1" x14ac:dyDescent="0.25">
      <c r="B43" s="69"/>
      <c r="C43" s="191"/>
      <c r="D43" s="191"/>
      <c r="E43" s="70"/>
      <c r="F43" s="71"/>
      <c r="G43" s="71"/>
      <c r="H43" s="192"/>
      <c r="I43" s="192"/>
      <c r="J43" s="193"/>
      <c r="K43" s="191"/>
      <c r="L43" s="191"/>
    </row>
    <row r="44" spans="2:13" ht="25.15" customHeight="1" x14ac:dyDescent="0.25">
      <c r="B44" s="69"/>
      <c r="C44" s="191"/>
      <c r="D44" s="191"/>
      <c r="E44" s="72"/>
      <c r="F44" s="71"/>
      <c r="G44" s="71"/>
      <c r="H44" s="192"/>
      <c r="I44" s="192"/>
      <c r="J44" s="193"/>
      <c r="K44" s="191"/>
      <c r="L44" s="191"/>
    </row>
    <row r="45" spans="2:13" ht="25.15" customHeight="1" x14ac:dyDescent="0.25">
      <c r="B45" s="69"/>
      <c r="C45" s="191"/>
      <c r="D45" s="191"/>
      <c r="E45" s="72"/>
      <c r="F45" s="71"/>
      <c r="G45" s="71"/>
      <c r="H45" s="192"/>
      <c r="I45" s="192"/>
      <c r="J45" s="193"/>
      <c r="K45" s="191"/>
      <c r="L45" s="191"/>
    </row>
    <row r="46" spans="2:13" ht="25.15" customHeight="1" x14ac:dyDescent="0.25">
      <c r="B46" s="69"/>
      <c r="C46" s="191"/>
      <c r="D46" s="191"/>
      <c r="E46" s="73"/>
      <c r="F46" s="71"/>
      <c r="G46" s="71"/>
      <c r="H46" s="193"/>
      <c r="I46" s="191"/>
      <c r="J46" s="193"/>
      <c r="K46" s="191"/>
      <c r="L46" s="191"/>
    </row>
    <row r="47" spans="2:13" ht="25.15" customHeight="1" x14ac:dyDescent="0.25">
      <c r="B47" s="69"/>
      <c r="C47" s="191"/>
      <c r="D47" s="191"/>
      <c r="E47" s="72"/>
      <c r="F47" s="71"/>
      <c r="G47" s="71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7"/>
      <c r="C49" s="68"/>
      <c r="D49" s="67"/>
      <c r="E49" s="67"/>
      <c r="F49" s="67"/>
      <c r="G49" s="67"/>
      <c r="H49" s="190"/>
      <c r="I49" s="190"/>
      <c r="J49" s="190"/>
      <c r="K49" s="190"/>
      <c r="L49" s="190"/>
    </row>
    <row r="50" spans="2:12" ht="25.15" customHeight="1" x14ac:dyDescent="0.25">
      <c r="B50" s="67"/>
      <c r="C50" s="68"/>
      <c r="D50" s="67"/>
      <c r="E50" s="67"/>
      <c r="F50" s="67"/>
      <c r="G50" s="67"/>
      <c r="H50" s="190"/>
      <c r="I50" s="190"/>
      <c r="J50" s="190"/>
      <c r="K50" s="190"/>
      <c r="L50" s="190"/>
    </row>
    <row r="51" spans="2:12" ht="25.15" customHeight="1" x14ac:dyDescent="0.25">
      <c r="B51" s="69"/>
      <c r="C51" s="191"/>
      <c r="D51" s="191"/>
      <c r="E51" s="72"/>
      <c r="F51" s="71"/>
      <c r="G51" s="71"/>
      <c r="H51" s="193"/>
      <c r="I51" s="191"/>
      <c r="J51" s="193"/>
      <c r="K51" s="191"/>
      <c r="L51" s="191"/>
    </row>
    <row r="52" spans="2:12" ht="25.15" customHeight="1" x14ac:dyDescent="0.25">
      <c r="B52" s="69"/>
      <c r="C52" s="191"/>
      <c r="D52" s="191"/>
      <c r="E52" s="72"/>
      <c r="F52" s="71"/>
      <c r="G52" s="71"/>
      <c r="H52" s="193"/>
      <c r="I52" s="191"/>
      <c r="J52" s="193"/>
      <c r="K52" s="191"/>
      <c r="L52" s="191"/>
    </row>
    <row r="53" spans="2:12" ht="25.15" customHeight="1" x14ac:dyDescent="0.25">
      <c r="B53" s="69"/>
      <c r="C53" s="191"/>
      <c r="D53" s="191"/>
      <c r="E53" s="72"/>
      <c r="F53" s="71"/>
      <c r="G53" s="71"/>
      <c r="H53" s="193"/>
      <c r="I53" s="191"/>
      <c r="J53" s="193"/>
      <c r="K53" s="191"/>
      <c r="L53" s="191"/>
    </row>
    <row r="54" spans="2:12" ht="25.15" customHeight="1" x14ac:dyDescent="0.25">
      <c r="B54" s="69"/>
      <c r="C54" s="191"/>
      <c r="D54" s="191"/>
      <c r="E54" s="72"/>
      <c r="F54" s="71"/>
      <c r="G54" s="71"/>
      <c r="H54" s="193"/>
      <c r="I54" s="191"/>
      <c r="J54" s="193"/>
      <c r="K54" s="191"/>
      <c r="L54" s="191"/>
    </row>
    <row r="55" spans="2:12" ht="25.15" customHeight="1" x14ac:dyDescent="0.25">
      <c r="B55" s="69"/>
      <c r="C55" s="191"/>
      <c r="D55" s="191"/>
      <c r="E55" s="72"/>
      <c r="F55" s="71"/>
      <c r="G55" s="71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6"/>
      <c r="C58" s="66"/>
      <c r="D58" s="66"/>
      <c r="E58" s="66"/>
      <c r="F58" s="66"/>
      <c r="G58" s="66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96"/>
      <c r="G61" s="197"/>
      <c r="H61" s="197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97"/>
      <c r="G62" s="197"/>
      <c r="H62" s="197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96"/>
      <c r="G63" s="197"/>
      <c r="H63" s="197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97"/>
      <c r="G64" s="197"/>
      <c r="H64" s="197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205"/>
      <c r="J74" s="205"/>
      <c r="K74" s="205"/>
      <c r="L74" s="205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205"/>
      <c r="J75" s="205"/>
      <c r="K75" s="205"/>
      <c r="L75" s="205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203"/>
      <c r="D83" s="203"/>
      <c r="E83" s="203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203"/>
      <c r="D84" s="203"/>
      <c r="E84" s="203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203"/>
      <c r="D86" s="203"/>
      <c r="E86" s="203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203"/>
      <c r="D87" s="203"/>
      <c r="E87" s="203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203"/>
      <c r="D93" s="203"/>
      <c r="E93" s="203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203"/>
      <c r="D94" s="203"/>
      <c r="E94" s="203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203"/>
      <c r="D96" s="203"/>
      <c r="E96" s="203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203"/>
      <c r="D97" s="203"/>
      <c r="E97" s="203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204"/>
      <c r="D102" s="204"/>
      <c r="E102" s="204"/>
      <c r="F102" s="204"/>
      <c r="G102" s="204"/>
      <c r="H102" s="204"/>
      <c r="I102" s="204"/>
      <c r="J102" s="204"/>
      <c r="K102" s="204"/>
      <c r="L102" s="74"/>
    </row>
    <row r="103" spans="2:12" ht="16.149999999999999" customHeight="1" x14ac:dyDescent="0.25">
      <c r="B103" s="74"/>
      <c r="C103" s="204"/>
      <c r="D103" s="204"/>
      <c r="E103" s="204"/>
      <c r="F103" s="204"/>
      <c r="G103" s="204"/>
      <c r="H103" s="204"/>
      <c r="I103" s="204"/>
      <c r="J103" s="204"/>
      <c r="K103" s="204"/>
      <c r="L103" s="74"/>
    </row>
    <row r="104" spans="2:12" ht="16.149999999999999" customHeight="1" x14ac:dyDescent="0.25">
      <c r="B104" s="74"/>
      <c r="C104" s="204"/>
      <c r="D104" s="204"/>
      <c r="E104" s="204"/>
      <c r="F104" s="204"/>
      <c r="G104" s="204"/>
      <c r="H104" s="204"/>
      <c r="I104" s="204"/>
      <c r="J104" s="204"/>
      <c r="K104" s="204"/>
      <c r="L104" s="74"/>
    </row>
    <row r="105" spans="2:12" ht="16.149999999999999" customHeight="1" x14ac:dyDescent="0.25">
      <c r="B105" s="74"/>
      <c r="C105" s="204"/>
      <c r="D105" s="204"/>
      <c r="E105" s="204"/>
      <c r="F105" s="204"/>
      <c r="G105" s="204"/>
      <c r="H105" s="204"/>
      <c r="I105" s="204"/>
      <c r="J105" s="204"/>
      <c r="K105" s="204"/>
      <c r="L105" s="7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2026-09-21T12:22:34Z</cp:lastPrinted>
  <dcterms:created xsi:type="dcterms:W3CDTF">2014-05-26T07:40:11Z</dcterms:created>
  <dcterms:modified xsi:type="dcterms:W3CDTF">2026-09-21T12:22:36Z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