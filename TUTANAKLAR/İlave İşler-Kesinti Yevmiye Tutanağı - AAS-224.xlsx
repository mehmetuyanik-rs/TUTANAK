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9B73F473-B057-4DD2-8D7B-E10F3B3DB51F}" xr6:coauthVersionLast="47" xr6:coauthVersionMax="47" xr10:uidLastSave="{00000000-0000-0000-0000-000000000000}"/>
  <bookViews>
    <workbookView xWindow="26730" yWindow="-45" windowWidth="11910" windowHeight="762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" i="1" l="1"/>
  <c r="E48" i="1"/>
  <c r="E49" i="1"/>
  <c r="E50" i="1"/>
  <c r="E51" i="1"/>
  <c r="E46" i="1"/>
  <c r="E47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<sst xmlns="http://schemas.openxmlformats.org/spreadsheetml/2006/main" count="126" uniqueCount="100">
  <si>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</si>
  <si>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</si>
  <si>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</si>
  <si>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</si>
  <si>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</si>
  <si>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</si>
  <si>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</si>
  <si>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</si>
  <si>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</si>
  <si>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</si>
  <si>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</si>
  <si>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</si>
  <si>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</si>
  <si>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</si>
  <si>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</si>
  <si>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</si>
  <si>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</si>
  <si>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</si>
  <si>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</si>
  <si>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</si>
  <si>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</si>
  <si>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</si>
  <si>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</si>
  <si>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</si>
  <si>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</si>
  <si>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</si>
  <si>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</si>
  <si>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</si>
  <si>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</si>
  <si>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</si>
  <si>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</si>
  <si>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</si>
  <si>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</si>
  <si>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</si>
  <si>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</si>
  <si>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</si>
  <si>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</si>
  <si>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</si>
  <si>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</si>
  <si>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</si>
  <si>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</si>
  <si>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</si>
  <si>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</si>
  <si>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</si>
  <si>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</si>
  <si>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</si>
  <si>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</si>
  <si>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</si>
  <si>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</si>
  <si>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</si>
  <si>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</si>
  <si>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</si>
  <si>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</si>
  <si>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</si>
  <si>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</si>
  <si>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</si>
  <si>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</si>
  <si>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</si>
  <si>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</si>
  <si>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</si>
  <si>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</si>
  <si>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</si>
  <si>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</si>
  <si>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</si>
  <si>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</si>
  <si>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</si>
  <si>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</si>
  <si>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</si>
  <si>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</si>
  <si>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</si>
  <si>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</si>
  <si>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</si>
  <si>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</si>
  <si>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</si>
  <si>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</si>
  <si>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</si>
  <si>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</si>
  <si>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</si>
  <si>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</si>
  <si>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</si>
  <si>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</si>
  <si>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</si>
  <si>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</si>
  <si>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</si>
  <si>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</si>
  <si>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</si>
  <si>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</si>
  <si>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</si>
  <si>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</si>
  <si>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İSA ÇİFTÇİ(USTA YARDIMCISI)</t>
  </si>
  <si>
    <t>MEHMET EYYÜP ARĞİŞ(USTA YARDIMCISI)</t>
  </si>
  <si>
    <t>MURAT BOZMA(USTA YARDIMCISI)</t>
  </si>
  <si>
    <t>SİNAN MENCİK(USTA)</t>
  </si>
  <si>
    <t>İBRAHİM MENCİK(USTA)</t>
  </si>
  <si>
    <t>MUHAMMED ÇALAĞAN(USTA)</t>
  </si>
  <si>
    <t>MEHMET SİNAN MENCİK(USTA)</t>
  </si>
  <si>
    <t>MESUT ÇERDİK(USTA YARDIMCISI)</t>
  </si>
  <si>
    <t>224</t>
  </si>
  <si>
    <t>MEHMET DEMİR(USTA)</t>
  </si>
  <si>
    <t>BİLAL ÇİFTÇİ(USTA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</si>
</sst>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46230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97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87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88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94</v>
      </c>
      <c r="D43" s="88"/>
      <c r="E43" s="73">
        <f t="shared" ref="E43:E52" si="0">+$D$5</f>
        <v>46230</v>
      </c>
      <c r="F43" s="74" t="s">
        <v>82</v>
      </c>
      <c r="G43" s="74">
        <v>1</v>
      </c>
      <c r="H43" s="86">
        <v>4126.4799999999996</v>
      </c>
      <c r="I43" s="86"/>
      <c r="J43" s="168">
        <f>+H43*G43</f>
        <v>4126.4799999999996</v>
      </c>
      <c r="K43" s="168"/>
      <c r="L43" s="169"/>
    </row>
    <row r="44" spans="2:13" ht="25.15" customHeight="1" x14ac:dyDescent="0.25">
      <c r="B44" s="2">
        <v>2</v>
      </c>
      <c r="C44" s="87" t="s">
        <v>95</v>
      </c>
      <c r="D44" s="88"/>
      <c r="E44" s="73">
        <f t="shared" si="0"/>
        <v>46230</v>
      </c>
      <c r="F44" s="74" t="s">
        <v>82</v>
      </c>
      <c r="G44" s="74">
        <v>1</v>
      </c>
      <c r="H44" s="86">
        <v>4126.4799999999996</v>
      </c>
      <c r="I44" s="86"/>
      <c r="J44" s="168">
        <f t="shared" ref="J44:J60" si="1">+H44*G44</f>
        <v>4126.4799999999996</v>
      </c>
      <c r="K44" s="168"/>
      <c r="L44" s="169"/>
    </row>
    <row r="45" spans="2:13" ht="25.15" customHeight="1" x14ac:dyDescent="0.25">
      <c r="B45" s="2">
        <v>3</v>
      </c>
      <c r="C45" s="166" t="s">
        <v>93</v>
      </c>
      <c r="D45" s="167"/>
      <c r="E45" s="73">
        <f t="shared" si="0"/>
        <v>46230</v>
      </c>
      <c r="F45" s="75" t="s">
        <v>82</v>
      </c>
      <c r="G45" s="75">
        <v>1</v>
      </c>
      <c r="H45" s="86">
        <v>4126.4799999999996</v>
      </c>
      <c r="I45" s="86"/>
      <c r="J45" s="168">
        <f t="shared" si="1"/>
        <v>4126.4799999999996</v>
      </c>
      <c r="K45" s="168"/>
      <c r="L45" s="169"/>
    </row>
    <row r="46" spans="2:13" ht="25.15" customHeight="1" x14ac:dyDescent="0.25">
      <c r="B46" s="2">
        <v>4</v>
      </c>
      <c r="C46" s="166" t="s">
        <v>92</v>
      </c>
      <c r="D46" s="167"/>
      <c r="E46" s="73">
        <f t="shared" si="0"/>
        <v>46230</v>
      </c>
      <c r="F46" s="76" t="s">
        <v>82</v>
      </c>
      <c r="G46" s="76">
        <v>1</v>
      </c>
      <c r="H46" s="86">
        <v>4126.4799999999996</v>
      </c>
      <c r="I46" s="86"/>
      <c r="J46" s="168">
        <f t="shared" ref="J46:J52" si="2">+H46*G46</f>
        <v>4126.4799999999996</v>
      </c>
      <c r="K46" s="168"/>
      <c r="L46" s="169"/>
    </row>
    <row r="47" spans="2:13" ht="25.15" customHeight="1" x14ac:dyDescent="0.25">
      <c r="B47" s="2">
        <v>5</v>
      </c>
      <c r="C47" s="87" t="s">
        <v>98</v>
      </c>
      <c r="D47" s="88"/>
      <c r="E47" s="73">
        <f t="shared" si="0"/>
        <v>46230</v>
      </c>
      <c r="F47" s="76" t="s">
        <v>82</v>
      </c>
      <c r="G47" s="76">
        <v>1</v>
      </c>
      <c r="H47" s="86">
        <v>4126.4799999999996</v>
      </c>
      <c r="I47" s="86"/>
      <c r="J47" s="168">
        <f t="shared" si="2"/>
        <v>4126.4799999999996</v>
      </c>
      <c r="K47" s="168"/>
      <c r="L47" s="169"/>
    </row>
    <row r="48" spans="2:13" ht="25.15" customHeight="1" x14ac:dyDescent="0.25">
      <c r="B48" s="2">
        <v>6</v>
      </c>
      <c r="C48" s="87" t="s">
        <v>91</v>
      </c>
      <c r="D48" s="88"/>
      <c r="E48" s="73">
        <f t="shared" si="0"/>
        <v>46230</v>
      </c>
      <c r="F48" s="77" t="s">
        <v>82</v>
      </c>
      <c r="G48" s="77">
        <v>1</v>
      </c>
      <c r="H48" s="86">
        <v>2851.48</v>
      </c>
      <c r="I48" s="86"/>
      <c r="J48" s="168">
        <f t="shared" ref="J48:J50" si="3">+H48*G48</f>
        <v>2851.48</v>
      </c>
      <c r="K48" s="168"/>
      <c r="L48" s="169"/>
    </row>
    <row r="49" spans="2:12" ht="25.15" customHeight="1" x14ac:dyDescent="0.25">
      <c r="B49" s="2">
        <v>7</v>
      </c>
      <c r="C49" s="87" t="s">
        <v>96</v>
      </c>
      <c r="D49" s="88"/>
      <c r="E49" s="73">
        <f t="shared" si="0"/>
        <v>46230</v>
      </c>
      <c r="F49" s="77" t="s">
        <v>82</v>
      </c>
      <c r="G49" s="77">
        <v>1</v>
      </c>
      <c r="H49" s="86">
        <v>2851.48</v>
      </c>
      <c r="I49" s="86"/>
      <c r="J49" s="168">
        <f t="shared" si="3"/>
        <v>2851.48</v>
      </c>
      <c r="K49" s="168"/>
      <c r="L49" s="169"/>
    </row>
    <row r="50" spans="2:12" ht="25.15" customHeight="1" x14ac:dyDescent="0.25">
      <c r="B50" s="2">
        <v>8</v>
      </c>
      <c r="C50" s="87" t="s">
        <v>89</v>
      </c>
      <c r="D50" s="88"/>
      <c r="E50" s="73">
        <f t="shared" si="0"/>
        <v>46230</v>
      </c>
      <c r="F50" s="77" t="s">
        <v>82</v>
      </c>
      <c r="G50" s="77">
        <v>1</v>
      </c>
      <c r="H50" s="86">
        <v>2851.48</v>
      </c>
      <c r="I50" s="86"/>
      <c r="J50" s="168">
        <f t="shared" si="3"/>
        <v>2851.48</v>
      </c>
      <c r="K50" s="168"/>
      <c r="L50" s="169"/>
    </row>
    <row r="51" spans="2:12" ht="25.15" customHeight="1" x14ac:dyDescent="0.25">
      <c r="B51" s="2">
        <v>9</v>
      </c>
      <c r="C51" s="87" t="s">
        <v>90</v>
      </c>
      <c r="D51" s="88"/>
      <c r="E51" s="73">
        <f t="shared" si="0"/>
        <v>46230</v>
      </c>
      <c r="F51" s="77" t="s">
        <v>82</v>
      </c>
      <c r="G51" s="77">
        <v>1</v>
      </c>
      <c r="H51" s="86">
        <v>2851.48</v>
      </c>
      <c r="I51" s="86"/>
      <c r="J51" s="168">
        <f t="shared" si="2"/>
        <v>2851.48</v>
      </c>
      <c r="K51" s="168"/>
      <c r="L51" s="169"/>
    </row>
    <row r="52" spans="2:12" ht="25.15" customHeight="1" thickBot="1" x14ac:dyDescent="0.3">
      <c r="B52" s="2">
        <v>10</v>
      </c>
      <c r="C52" s="87" t="s">
        <v>99</v>
      </c>
      <c r="D52" s="88"/>
      <c r="E52" s="73">
        <f t="shared" si="0"/>
        <v>46230</v>
      </c>
      <c r="F52" s="77" t="s">
        <v>82</v>
      </c>
      <c r="G52" s="77">
        <v>1</v>
      </c>
      <c r="H52" s="86">
        <v>2851.48</v>
      </c>
      <c r="I52" s="86"/>
      <c r="J52" s="168">
        <f t="shared" si="2"/>
        <v>2851.48</v>
      </c>
      <c r="K52" s="168"/>
      <c r="L52" s="169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70">
        <f>+SUM(J43:L52)</f>
        <v>34889.799999999996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85</v>
      </c>
      <c r="D56" s="163"/>
      <c r="E56" s="73">
        <f>+E43</f>
        <v>46230</v>
      </c>
      <c r="F56" s="48" t="s">
        <v>86</v>
      </c>
      <c r="G56" s="48">
        <v>153.12</v>
      </c>
      <c r="H56" s="165"/>
      <c r="I56" s="163"/>
      <c r="J56" s="165">
        <f t="shared" si="1"/>
        <v>0</v>
      </c>
      <c r="K56" s="163"/>
      <c r="L56" s="173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3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3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3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3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70">
        <f>+SUM(J56:L60)</f>
        <v>0</v>
      </c>
      <c r="K61" s="171"/>
      <c r="L61" s="172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70">
        <f>+J61+J53</f>
        <v>34889.799999999996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4"/>
      <c r="I63" s="174"/>
      <c r="J63" s="175"/>
      <c r="K63" s="176"/>
      <c r="L63" s="176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46230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6" t="str">
        <f>'İLAVE İS TUT.'!D7</f>
        <v>224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C6 / -4.80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2026-07-29T08:44:14Z</cp:lastPrinted>
  <dcterms:created xsi:type="dcterms:W3CDTF">2014-05-26T07:40:11Z</dcterms:created>
  <dcterms:modified xsi:type="dcterms:W3CDTF">2026-07-29T08:44:22Z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