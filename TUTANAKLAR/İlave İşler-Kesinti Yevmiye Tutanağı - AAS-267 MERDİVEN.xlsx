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85A1D54-7AE6-4A4A-95B3-7EB47449BF55}" xr6:coauthVersionLast="47" xr6:coauthVersionMax="47" xr10:uidLastSave="{00000000-0000-0000-0000-000000000000}"/>
  <bookViews>
    <workbookView xWindow="20370" yWindow="-5655" windowWidth="38640" windowHeight="21240" firstSheet="1" activeTab="1" xr2:uid="{00000000-000D-0000-FFFF-FFFF00000000}"/>
  </bookViews>
  <sheets>
    <sheet name="36-SÜLSER-SIVA-AZ&amp;mlen41" sheetId="13" r:id="rId1"/>
    <sheet name="tüm duvarlar" sheetId="11" r:id="rId2"/>
    <sheet name="İLAVE İS TUT." sheetId="1" r:id="rId3"/>
    <sheet name="İLAVE İS TUT. (2)" sheetId="4" r:id="rId4"/>
  </sheets>
  <definedNames>
    <definedName name="_xlnm.Print_Area" localSheetId="2">'İLAVE İS TUT.'!$B$2:$L$111</definedName>
    <definedName name="_xlnm.Print_Area" localSheetId="3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1" l="1"/>
  <c r="H25" i="11"/>
  <c r="H26" i="11"/>
  <c r="H27" i="11"/>
  <c r="H28" i="11"/>
  <c r="H29" i="11"/>
  <c r="H30" i="11"/>
  <c r="H31" i="11"/>
  <c r="H24" i="11"/>
  <c r="H18" i="11"/>
  <c r="G38" i="11" l="1"/>
  <c r="G37" i="11"/>
  <c r="H49" i="11"/>
  <c r="H44" i="11"/>
  <c r="H45" i="11"/>
  <c r="H46" i="11"/>
  <c r="H47" i="11"/>
  <c r="H48" i="11" l="1"/>
  <c r="H22" i="11"/>
  <c r="H12" i="11"/>
  <c r="H8" i="11"/>
  <c r="H9" i="11"/>
  <c r="H32" i="11"/>
  <c r="H21" i="11"/>
  <c r="H20" i="11"/>
  <c r="H19" i="11"/>
  <c r="H15" i="11"/>
  <c r="H14" i="11"/>
  <c r="H13" i="11"/>
  <c r="H7" i="11"/>
  <c r="H6" i="11"/>
  <c r="H5" i="11"/>
  <c r="E44" i="1"/>
  <c r="H16" i="11" l="1"/>
  <c r="H33" i="11"/>
  <c r="F37" i="11"/>
  <c r="H37" i="11" s="1"/>
  <c r="F53" i="11" s="1"/>
  <c r="H53" i="11" s="1"/>
  <c r="G43" i="1" s="1"/>
  <c r="F38" i="11"/>
  <c r="H38" i="11" s="1"/>
  <c r="F54" i="11" s="1"/>
  <c r="H54" i="11" s="1"/>
  <c r="J52" i="1"/>
  <c r="J51" i="1"/>
  <c r="J50" i="1"/>
  <c r="J49" i="1"/>
  <c r="J48" i="1"/>
  <c r="J47" i="1"/>
  <c r="J46" i="1"/>
  <c r="G44" i="1" l="1"/>
  <c r="J44" i="1" s="1"/>
  <c r="E43" i="1"/>
  <c r="D7" i="4" l="1"/>
  <c r="I9" i="4" l="1"/>
  <c r="D5" i="4"/>
  <c r="J60" i="1" l="1"/>
  <c r="J59" i="1"/>
  <c r="J58" i="1"/>
  <c r="J57" i="1"/>
  <c r="J56" i="1"/>
  <c r="J45" i="1"/>
  <c r="J43" i="1"/>
  <c r="J61" i="1" l="1"/>
  <c r="J53" i="1"/>
  <c r="J62" i="1" l="1"/>
</calcChain>
</file>

<file path=xl/sharedStrings.xml><?xml version="1.0" encoding="utf-8"?>
<sst xmlns="http://schemas.openxmlformats.org/spreadsheetml/2006/main" count="188" uniqueCount="129">
  <si>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</si>
  <si>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</si>
  <si>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</si>
  <si>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</si>
  <si>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</si>
  <si>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</si>
  <si>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</si>
  <si>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</si>
  <si>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</si>
  <si>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</si>
  <si>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</si>
  <si>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</si>
  <si>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</si>
  <si>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</si>
  <si>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</si>
  <si>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</si>
  <si>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</si>
  <si>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</si>
  <si>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</si>
  <si>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</si>
  <si>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</si>
  <si>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</si>
  <si>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</si>
  <si>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</si>
  <si>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</si>
  <si>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</si>
  <si>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</si>
  <si>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</si>
  <si>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</si>
  <si>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</si>
  <si>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</si>
  <si>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</si>
  <si>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</si>
  <si>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</si>
  <si>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</si>
  <si>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</si>
  <si>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</si>
  <si>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</si>
  <si>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</si>
  <si>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</si>
  <si>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</si>
  <si>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ELEKTRİK İŞLERİ</t>
  </si>
  <si>
    <t>PROJE MÜDÜR YARDIMCISI (SAHA)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</si>
  <si>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</si>
  <si>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</si>
  <si>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</si>
  <si>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</si>
  <si>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</si>
  <si>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</si>
  <si>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</si>
  <si>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</si>
  <si>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</si>
  <si>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</si>
  <si>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</si>
  <si>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</si>
  <si>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</si>
  <si>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</si>
  <si>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C BLOK</t>
  </si>
  <si>
    <t>Sülser Müh. İnş Nak. Elk. Mek. San. Ve Tic. Ltd. Şti.</t>
  </si>
  <si>
    <t>İLAVE İŞLER / KESİNTİ - YEVMİYE TUTANAĞI EK</t>
  </si>
  <si>
    <t xml:space="preserve"> </t>
  </si>
  <si>
    <t>1.3.2 Duvarlara Alçı Sıva Yapılması</t>
  </si>
  <si>
    <t>m²</t>
  </si>
  <si>
    <t>1.3.1 Duvarlara Çimento Esaslı Sıva Yapılması</t>
  </si>
  <si>
    <t>1.3.2._SÜLSER_ALÇISIVA_DA_D20_H_4.70 (+25.30 +30.20)</t>
  </si>
  <si>
    <t>1.3.2._SÜLSER_ALÇISIVA_KA_0.80_H_4.10 (+25.30 +30.20)</t>
  </si>
  <si>
    <t>5.KAT</t>
  </si>
  <si>
    <t>Adet</t>
  </si>
  <si>
    <t>4-3-2-1-ZEMİN 
KATLAR</t>
  </si>
  <si>
    <t>1.3.1._SÜLSER_ÇİMENTOSIVA_DA_D20_H_4.80 (-4.70 +0.30)</t>
  </si>
  <si>
    <t>1.3.1._SÜLSER_ÇİMENTOSIVA_KA_0.60_H_4.40 (-4.70 +0.30)</t>
  </si>
  <si>
    <t>1.3.1._SÜLSER_ÇİMENTOSIVA_KA_0.80_H_4.20 (-4.70 +0.30)</t>
  </si>
  <si>
    <t>AZ KATI</t>
  </si>
  <si>
    <t>B1 KATI</t>
  </si>
  <si>
    <t>1.3.1_SÜLSER_ÇİMENTOSIVA_DA_D20_H.4.05 (-10.2 -4.70)</t>
  </si>
  <si>
    <t>1.3.1_SÜLSER_ÇİMENTOSIVA_DA_D20_H.4.68 (-10.2 -4.70)</t>
  </si>
  <si>
    <t>1.3.1_SÜLSER_ÇİMENTOSIVA_DA_D20_H.5.30 (-10.2 -4.70)</t>
  </si>
  <si>
    <t>1.3.1_SÜLSER_ÇİMENTOSIVA_KA_0.80_H.4.70 (-10.2 -4.70)</t>
  </si>
  <si>
    <t>Uzunluk</t>
  </si>
  <si>
    <t>Yükseklik</t>
  </si>
  <si>
    <t>Toplam</t>
  </si>
  <si>
    <t>Açıklama</t>
  </si>
  <si>
    <t>Kat</t>
  </si>
  <si>
    <t>1.3.2._SÜLSER_ALÇISIVA_DA_D20_H_1.65 (+25.30 +30.20)</t>
  </si>
  <si>
    <t>1.3.2._SÜLSER_ALÇISIVA_DA_D20_H_4.25 (+25.30 +30.20)</t>
  </si>
  <si>
    <t>1.3.2._SÜLSER_ALÇISIVA_KA_0.80_H_1.10 (+25.30 +30.20)</t>
  </si>
  <si>
    <t>1.3.1._SÜLSER_ÇİMENTOSIVA_KA_0.60_H_3.95 (-4.70 +0.30)</t>
  </si>
  <si>
    <t>1.3.1._SÜLSER_ÇİMENTOSIVA_KA_0.80_H_1.75 (-4.70 +0.30) KAPI</t>
  </si>
  <si>
    <t>1.3.1_SÜLSER_ÇİMENTOSIVA_DA_D20_H.2.95 KAPI (-10.2 -4.70)</t>
  </si>
  <si>
    <t>1.3.1_SÜLSER_ÇİMENTOSIVA_KA_0.80_H.2.35 (-10.2 -4.70) KAPI</t>
  </si>
  <si>
    <t>1.3.2 ALÇI SIVA TOPLAM</t>
  </si>
  <si>
    <t>1.3.1 ÇİMENTO ESASLI TOPLAM</t>
  </si>
  <si>
    <t>ALÇITEK TORO(1 cm kalınlık için 10.5 kg/m²)</t>
  </si>
  <si>
    <t>GRİO MATİK (1 cm kalınlık için 14-17 kg/m²)</t>
  </si>
  <si>
    <t>SARFİYAT HESABI (2 cm kalınlık için)</t>
  </si>
  <si>
    <t>KULLANILAN MİKTAR</t>
  </si>
  <si>
    <t>PALET</t>
  </si>
  <si>
    <t>AZ- B1 KATLARI KULLANILAN GRİO MATİK</t>
  </si>
  <si>
    <t>ALÇITEK TORO</t>
  </si>
  <si>
    <t>GRİO MATİK</t>
  </si>
  <si>
    <t>kg</t>
  </si>
  <si>
    <t>Kullanılan Palet Miktarı</t>
  </si>
  <si>
    <t>Malzeme</t>
  </si>
  <si>
    <t>Mahal</t>
  </si>
  <si>
    <t>Toplam Kg</t>
  </si>
  <si>
    <t xml:space="preserve"> TOPLAM KULLANILAN ALÇITEK TORO</t>
  </si>
  <si>
    <t>1 Palette 35 kg ağırlığında 48 adet torba bulunmaktadır</t>
  </si>
  <si>
    <t>FAZLA KULLANILAN MALZEME HESABI</t>
  </si>
  <si>
    <t>Kullanılması 
Gereken Miktar</t>
  </si>
  <si>
    <t>Sarfiyat 
(2 cm)</t>
  </si>
  <si>
    <t>MERDİVEN DUVAR SIVA METRAJLARI</t>
  </si>
  <si>
    <t>Kg Hesabı</t>
  </si>
  <si>
    <t>M2 Hesabı</t>
  </si>
  <si>
    <t>Layer</t>
  </si>
  <si>
    <t>Length</t>
  </si>
  <si>
    <t>1.3.1_SÜLSER_ÇİMENTOSIVA_DA_D20_H.0.62 (-10.2 -4.70)</t>
  </si>
  <si>
    <t>1.3.1_SÜLSER_ÇİMENTOSIVA_DA_D20_H.1.25 (-10.2 -4.70)</t>
  </si>
  <si>
    <t>1.3.2._SÜLSER_ALÇISIVA_DA_D20_H_1.65 (+0.30 +5.30)</t>
  </si>
  <si>
    <t>1.3.2._SÜLSER_ALÇISIVA_DA_D20_H_4.35 (+0.30 +5.30)</t>
  </si>
  <si>
    <t>1.3.2._SÜLSER_ALÇISIVA_DA_D20_H_4.80 (+0.30 +5.30)</t>
  </si>
  <si>
    <t>1.3.2._SÜLSER_ALÇISIVA_KA_0.80_H_1.15 (+0.30 +5.30)</t>
  </si>
  <si>
    <t>1.3.2._SÜLSER_ALÇISIVA_KA_0.80_H_4.20 (+0.30 +5.30)</t>
  </si>
  <si>
    <t>MC10</t>
  </si>
  <si>
    <t>MC11</t>
  </si>
  <si>
    <t>MC06</t>
  </si>
  <si>
    <t>MC19</t>
  </si>
  <si>
    <t>C5/ 0.20/MC10,MC11,MC06,MC19</t>
  </si>
  <si>
    <t>C3 Blok MC10- C5 Blok MC06,MC11,MC19 merdivenlerinde yapılan ölçümler ve uygulama sırasında, kaba inşaat imalatlarındaki yüzey bozuklukları nedeniyle duvar alçı sıva kalınlıkları proje ve standart uygulama kalınlıklarının üzerine çıkmış olup yer yer 5-8 cm seviyelerine ulaşmıştır.</t>
  </si>
  <si>
    <t>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</si>
</sst>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  <font>
      <sz val="14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/>
    <xf numFmtId="0" fontId="0" fillId="0" borderId="35" xfId="0" applyBorder="1"/>
    <xf numFmtId="0" fontId="14" fillId="0" borderId="37" xfId="0" applyFont="1" applyBorder="1"/>
    <xf numFmtId="0" fontId="14" fillId="0" borderId="35" xfId="0" applyFont="1" applyBorder="1"/>
    <xf numFmtId="0" fontId="14" fillId="0" borderId="38" xfId="0" applyFont="1" applyBorder="1"/>
    <xf numFmtId="0" fontId="0" fillId="0" borderId="32" xfId="0" applyBorder="1"/>
    <xf numFmtId="0" fontId="0" fillId="0" borderId="31" xfId="0" applyBorder="1"/>
    <xf numFmtId="0" fontId="0" fillId="0" borderId="37" xfId="0" applyBorder="1"/>
    <xf numFmtId="0" fontId="0" fillId="0" borderId="38" xfId="0" applyBorder="1"/>
    <xf numFmtId="0" fontId="14" fillId="4" borderId="40" xfId="0" applyFont="1" applyFill="1" applyBorder="1"/>
    <xf numFmtId="0" fontId="14" fillId="4" borderId="43" xfId="0" applyFont="1" applyFill="1" applyBorder="1"/>
    <xf numFmtId="0" fontId="0" fillId="0" borderId="0" xfId="0" applyAlignment="1"/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 applyAlignment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4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right"/>
    </xf>
    <xf numFmtId="0" fontId="15" fillId="0" borderId="30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39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3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t="s">
        <v>113</v>
      </c>
      <c r="B1" t="s">
        <v>114</v>
      </c>
    </row>
    <row r="2" spans="1:2" x14ac:dyDescent="0.25">
      <c r="A2" t="s">
        <v>69</v>
      </c>
      <c r="B2">
        <v>6124.0014000000001</v>
      </c>
    </row>
    <row r="3" spans="1:2" x14ac:dyDescent="0.25">
      <c r="A3" t="s">
        <v>86</v>
      </c>
      <c r="B3">
        <v>100</v>
      </c>
    </row>
    <row r="4" spans="1:2" x14ac:dyDescent="0.25">
      <c r="A4" t="s">
        <v>70</v>
      </c>
      <c r="B4">
        <v>584</v>
      </c>
    </row>
    <row r="5" spans="1:2" x14ac:dyDescent="0.25">
      <c r="A5" t="s">
        <v>87</v>
      </c>
      <c r="B5">
        <v>210</v>
      </c>
    </row>
    <row r="6" spans="1:2" x14ac:dyDescent="0.25">
      <c r="A6" t="s">
        <v>71</v>
      </c>
      <c r="B6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54"/>
  <sheetViews>
    <sheetView tabSelected="1" workbookViewId="0">
      <selection activeCell="J20" sqref="J20"/>
    </sheetView>
  </sheetViews>
  <sheetFormatPr defaultRowHeight="15" x14ac:dyDescent="0.25"/>
  <cols>
    <col min="2" max="2" width="6.28515625" customWidth="1"/>
    <col min="4" max="4" width="53.140625" customWidth="1"/>
    <col min="5" max="5" width="6.42578125" customWidth="1"/>
    <col min="6" max="6" width="16.85546875" customWidth="1"/>
    <col min="8" max="8" width="10.5703125" customWidth="1"/>
  </cols>
  <sheetData>
    <row r="2" spans="3:8" ht="15.75" thickBot="1" x14ac:dyDescent="0.3"/>
    <row r="3" spans="3:8" ht="15.75" thickBot="1" x14ac:dyDescent="0.3">
      <c r="C3" s="102" t="s">
        <v>110</v>
      </c>
      <c r="D3" s="103"/>
      <c r="E3" s="103"/>
      <c r="F3" s="103"/>
      <c r="G3" s="103"/>
      <c r="H3" s="104"/>
    </row>
    <row r="4" spans="3:8" x14ac:dyDescent="0.25">
      <c r="C4" s="77" t="s">
        <v>82</v>
      </c>
      <c r="D4" s="78" t="s">
        <v>81</v>
      </c>
      <c r="E4" s="78" t="s">
        <v>67</v>
      </c>
      <c r="F4" s="78" t="s">
        <v>78</v>
      </c>
      <c r="G4" s="78" t="s">
        <v>79</v>
      </c>
      <c r="H4" s="79" t="s">
        <v>80</v>
      </c>
    </row>
    <row r="5" spans="3:8" x14ac:dyDescent="0.25">
      <c r="C5" s="80" t="s">
        <v>66</v>
      </c>
      <c r="D5" t="s">
        <v>83</v>
      </c>
      <c r="E5" s="75">
        <v>1</v>
      </c>
      <c r="F5" s="75">
        <v>2</v>
      </c>
      <c r="G5" s="75">
        <v>1.65</v>
      </c>
      <c r="H5" s="81">
        <f>+F5*G5*E5</f>
        <v>3.3</v>
      </c>
    </row>
    <row r="6" spans="3:8" x14ac:dyDescent="0.25">
      <c r="C6" s="80" t="s">
        <v>66</v>
      </c>
      <c r="D6" t="s">
        <v>84</v>
      </c>
      <c r="E6" s="75">
        <v>1</v>
      </c>
      <c r="F6" s="75">
        <v>1</v>
      </c>
      <c r="G6" s="75">
        <v>4.25</v>
      </c>
      <c r="H6" s="81">
        <f t="shared" ref="H6:H15" si="0">+F6*G6*E6</f>
        <v>4.25</v>
      </c>
    </row>
    <row r="7" spans="3:8" x14ac:dyDescent="0.25">
      <c r="C7" s="80" t="s">
        <v>66</v>
      </c>
      <c r="D7" t="s">
        <v>64</v>
      </c>
      <c r="E7" s="75">
        <v>1</v>
      </c>
      <c r="F7" s="75">
        <v>67.220100000000002</v>
      </c>
      <c r="G7" s="75">
        <v>4.7</v>
      </c>
      <c r="H7" s="81">
        <f t="shared" si="0"/>
        <v>315.93447000000003</v>
      </c>
    </row>
    <row r="8" spans="3:8" x14ac:dyDescent="0.25">
      <c r="C8" s="80" t="s">
        <v>66</v>
      </c>
      <c r="D8" t="s">
        <v>85</v>
      </c>
      <c r="E8" s="75">
        <v>1</v>
      </c>
      <c r="F8" s="75">
        <v>2.2999999999999998</v>
      </c>
      <c r="G8" s="75">
        <v>1.1000000000000001</v>
      </c>
      <c r="H8" s="81">
        <f t="shared" si="0"/>
        <v>2.5299999999999998</v>
      </c>
    </row>
    <row r="9" spans="3:8" x14ac:dyDescent="0.25">
      <c r="C9" s="80" t="s">
        <v>66</v>
      </c>
      <c r="D9" t="s">
        <v>65</v>
      </c>
      <c r="E9" s="75">
        <v>1</v>
      </c>
      <c r="F9" s="75">
        <v>4.74</v>
      </c>
      <c r="G9" s="75">
        <v>4.0999999999999996</v>
      </c>
      <c r="H9" s="81">
        <f t="shared" si="0"/>
        <v>19.433999999999997</v>
      </c>
    </row>
    <row r="10" spans="3:8" x14ac:dyDescent="0.25">
      <c r="C10" s="80"/>
      <c r="D10" s="75"/>
      <c r="E10" s="75"/>
      <c r="F10" s="75"/>
      <c r="G10" s="75"/>
      <c r="H10" s="81"/>
    </row>
    <row r="11" spans="3:8" x14ac:dyDescent="0.25">
      <c r="C11" s="109" t="s">
        <v>68</v>
      </c>
      <c r="D11" t="s">
        <v>117</v>
      </c>
      <c r="E11" s="75">
        <v>5</v>
      </c>
      <c r="F11" s="75">
        <v>2</v>
      </c>
      <c r="G11" s="75">
        <v>1.75</v>
      </c>
      <c r="H11" s="81">
        <f>+F11*G11*E11</f>
        <v>17.5</v>
      </c>
    </row>
    <row r="12" spans="3:8" x14ac:dyDescent="0.25">
      <c r="C12" s="110"/>
      <c r="D12" t="s">
        <v>118</v>
      </c>
      <c r="E12" s="75">
        <v>5</v>
      </c>
      <c r="F12" s="75">
        <v>1</v>
      </c>
      <c r="G12" s="75">
        <v>4.3499999999999996</v>
      </c>
      <c r="H12" s="81">
        <f t="shared" si="0"/>
        <v>21.75</v>
      </c>
    </row>
    <row r="13" spans="3:8" ht="15" customHeight="1" x14ac:dyDescent="0.25">
      <c r="C13" s="110"/>
      <c r="D13" t="s">
        <v>119</v>
      </c>
      <c r="E13" s="75">
        <v>5</v>
      </c>
      <c r="F13" s="75">
        <v>65.079599999999999</v>
      </c>
      <c r="G13" s="75">
        <v>4.8</v>
      </c>
      <c r="H13" s="81">
        <f t="shared" si="0"/>
        <v>1561.9103999999998</v>
      </c>
    </row>
    <row r="14" spans="3:8" x14ac:dyDescent="0.25">
      <c r="C14" s="110"/>
      <c r="D14" t="s">
        <v>120</v>
      </c>
      <c r="E14" s="75">
        <v>5</v>
      </c>
      <c r="F14" s="75">
        <v>2.2999999999999998</v>
      </c>
      <c r="G14" s="75">
        <v>1.1499999999999999</v>
      </c>
      <c r="H14" s="81">
        <f t="shared" si="0"/>
        <v>13.224999999999998</v>
      </c>
    </row>
    <row r="15" spans="3:8" x14ac:dyDescent="0.25">
      <c r="C15" s="111"/>
      <c r="D15" t="s">
        <v>121</v>
      </c>
      <c r="E15" s="75">
        <v>5</v>
      </c>
      <c r="F15" s="75">
        <v>4.74</v>
      </c>
      <c r="G15" s="75">
        <v>4.2</v>
      </c>
      <c r="H15" s="81">
        <f t="shared" si="0"/>
        <v>99.54</v>
      </c>
    </row>
    <row r="16" spans="3:8" ht="15.75" thickBot="1" x14ac:dyDescent="0.3">
      <c r="C16" s="105" t="s">
        <v>90</v>
      </c>
      <c r="D16" s="106"/>
      <c r="E16" s="106"/>
      <c r="F16" s="106"/>
      <c r="G16" s="106"/>
      <c r="H16" s="84">
        <f>+SUM(H5:H15)</f>
        <v>2059.3738699999999</v>
      </c>
    </row>
    <row r="17" spans="3:8" x14ac:dyDescent="0.25">
      <c r="C17" s="82"/>
      <c r="D17" s="76"/>
      <c r="E17" s="76"/>
      <c r="F17" s="76"/>
      <c r="G17" s="76"/>
      <c r="H17" s="83"/>
    </row>
    <row r="18" spans="3:8" x14ac:dyDescent="0.25">
      <c r="C18" s="80" t="s">
        <v>72</v>
      </c>
      <c r="D18" t="s">
        <v>69</v>
      </c>
      <c r="E18" s="75">
        <v>1</v>
      </c>
      <c r="F18" s="75">
        <v>61.240014000000002</v>
      </c>
      <c r="G18" s="75">
        <v>4.8</v>
      </c>
      <c r="H18" s="81">
        <f>+F18*G18*E18</f>
        <v>293.95206719999999</v>
      </c>
    </row>
    <row r="19" spans="3:8" x14ac:dyDescent="0.25">
      <c r="C19" s="80" t="s">
        <v>72</v>
      </c>
      <c r="D19" t="s">
        <v>86</v>
      </c>
      <c r="E19" s="75">
        <v>1</v>
      </c>
      <c r="F19" s="75">
        <v>1</v>
      </c>
      <c r="G19" s="75">
        <v>3.95</v>
      </c>
      <c r="H19" s="81">
        <f>+F19*G19*E19</f>
        <v>3.95</v>
      </c>
    </row>
    <row r="20" spans="3:8" x14ac:dyDescent="0.25">
      <c r="C20" s="80" t="s">
        <v>72</v>
      </c>
      <c r="D20" t="s">
        <v>70</v>
      </c>
      <c r="E20" s="75">
        <v>1</v>
      </c>
      <c r="F20" s="75">
        <v>5.84</v>
      </c>
      <c r="G20" s="75">
        <v>4.4000000000000004</v>
      </c>
      <c r="H20" s="81">
        <f>+F20*G20*E20</f>
        <v>25.696000000000002</v>
      </c>
    </row>
    <row r="21" spans="3:8" x14ac:dyDescent="0.25">
      <c r="C21" s="80" t="s">
        <v>72</v>
      </c>
      <c r="D21" t="s">
        <v>87</v>
      </c>
      <c r="E21" s="75">
        <v>1</v>
      </c>
      <c r="F21" s="75">
        <v>2.1</v>
      </c>
      <c r="G21" s="75">
        <v>1.75</v>
      </c>
      <c r="H21" s="81">
        <f>+F21*G21*E21</f>
        <v>3.6750000000000003</v>
      </c>
    </row>
    <row r="22" spans="3:8" x14ac:dyDescent="0.25">
      <c r="C22" s="80" t="s">
        <v>72</v>
      </c>
      <c r="D22" t="s">
        <v>71</v>
      </c>
      <c r="E22" s="75">
        <v>1</v>
      </c>
      <c r="F22" s="75">
        <v>4.9400000000000004</v>
      </c>
      <c r="G22" s="75">
        <v>4.2</v>
      </c>
      <c r="H22" s="81">
        <f>+F22*G22*E22</f>
        <v>20.748000000000001</v>
      </c>
    </row>
    <row r="23" spans="3:8" x14ac:dyDescent="0.25">
      <c r="C23" s="80"/>
      <c r="D23" s="75"/>
      <c r="E23" s="75"/>
      <c r="F23" s="75"/>
      <c r="G23" s="75"/>
      <c r="H23" s="81"/>
    </row>
    <row r="24" spans="3:8" x14ac:dyDescent="0.25">
      <c r="C24" s="80" t="s">
        <v>73</v>
      </c>
      <c r="D24" s="75" t="s">
        <v>115</v>
      </c>
      <c r="E24" s="75">
        <v>1</v>
      </c>
      <c r="F24" s="75">
        <v>7.12</v>
      </c>
      <c r="G24" s="75">
        <v>2.95</v>
      </c>
      <c r="H24" s="81">
        <f>+F24*G24*E24</f>
        <v>21.004000000000001</v>
      </c>
    </row>
    <row r="25" spans="3:8" x14ac:dyDescent="0.25">
      <c r="C25" s="80" t="s">
        <v>73</v>
      </c>
      <c r="D25" s="75" t="s">
        <v>116</v>
      </c>
      <c r="E25" s="75">
        <v>1</v>
      </c>
      <c r="F25" s="75">
        <v>6.6247910000000001</v>
      </c>
      <c r="G25" s="75">
        <v>4.05</v>
      </c>
      <c r="H25" s="81">
        <f t="shared" ref="H25:H31" si="1">+F25*G25*E25</f>
        <v>26.83040355</v>
      </c>
    </row>
    <row r="26" spans="3:8" x14ac:dyDescent="0.25">
      <c r="C26" s="80" t="s">
        <v>73</v>
      </c>
      <c r="D26" s="75" t="s">
        <v>88</v>
      </c>
      <c r="E26" s="75">
        <v>1</v>
      </c>
      <c r="F26" s="75">
        <v>2.0995789999999999</v>
      </c>
      <c r="G26" s="75">
        <v>4.68</v>
      </c>
      <c r="H26" s="81">
        <f t="shared" si="1"/>
        <v>9.8260297199999993</v>
      </c>
    </row>
    <row r="27" spans="3:8" x14ac:dyDescent="0.25">
      <c r="C27" s="80" t="s">
        <v>73</v>
      </c>
      <c r="D27" s="75" t="s">
        <v>74</v>
      </c>
      <c r="E27" s="75">
        <v>1</v>
      </c>
      <c r="F27" s="75">
        <v>23.76</v>
      </c>
      <c r="G27" s="75">
        <v>5.3</v>
      </c>
      <c r="H27" s="81">
        <f t="shared" si="1"/>
        <v>125.928</v>
      </c>
    </row>
    <row r="28" spans="3:8" x14ac:dyDescent="0.25">
      <c r="C28" s="80" t="s">
        <v>73</v>
      </c>
      <c r="D28" s="75" t="s">
        <v>75</v>
      </c>
      <c r="E28" s="75">
        <v>1</v>
      </c>
      <c r="F28" s="75">
        <v>8.1999999999999993</v>
      </c>
      <c r="G28" s="75">
        <v>2.35</v>
      </c>
      <c r="H28" s="81">
        <f t="shared" si="1"/>
        <v>19.27</v>
      </c>
    </row>
    <row r="29" spans="3:8" x14ac:dyDescent="0.25">
      <c r="C29" s="80" t="s">
        <v>73</v>
      </c>
      <c r="D29" s="75" t="s">
        <v>76</v>
      </c>
      <c r="E29" s="75">
        <v>1</v>
      </c>
      <c r="F29" s="75">
        <v>31.620421</v>
      </c>
      <c r="G29" s="75">
        <v>4.7</v>
      </c>
      <c r="H29" s="81">
        <f t="shared" si="1"/>
        <v>148.6159787</v>
      </c>
    </row>
    <row r="30" spans="3:8" x14ac:dyDescent="0.25">
      <c r="C30" s="80" t="s">
        <v>73</v>
      </c>
      <c r="D30" s="75" t="s">
        <v>89</v>
      </c>
      <c r="E30" s="75">
        <v>1</v>
      </c>
      <c r="F30" s="75">
        <v>2.0995789999999999</v>
      </c>
      <c r="G30" s="75">
        <v>2.35</v>
      </c>
      <c r="H30" s="81">
        <f t="shared" si="1"/>
        <v>4.9340106500000003</v>
      </c>
    </row>
    <row r="31" spans="3:8" x14ac:dyDescent="0.25">
      <c r="C31" s="80" t="s">
        <v>73</v>
      </c>
      <c r="D31" s="75" t="s">
        <v>77</v>
      </c>
      <c r="E31" s="75">
        <v>1</v>
      </c>
      <c r="F31" s="75">
        <v>4.9404209999999997</v>
      </c>
      <c r="G31" s="75">
        <v>4.7</v>
      </c>
      <c r="H31" s="81">
        <f t="shared" si="1"/>
        <v>23.219978699999999</v>
      </c>
    </row>
    <row r="32" spans="3:8" x14ac:dyDescent="0.25">
      <c r="C32" s="80"/>
      <c r="D32" s="75"/>
      <c r="E32" s="75"/>
      <c r="F32" s="75"/>
      <c r="G32" s="75"/>
      <c r="H32" s="81">
        <f t="shared" ref="H32" si="2">+F32*G32*E32</f>
        <v>0</v>
      </c>
    </row>
    <row r="33" spans="2:8" ht="15.75" thickBot="1" x14ac:dyDescent="0.3">
      <c r="C33" s="107" t="s">
        <v>91</v>
      </c>
      <c r="D33" s="108"/>
      <c r="E33" s="108"/>
      <c r="F33" s="108"/>
      <c r="G33" s="108"/>
      <c r="H33" s="85">
        <f>+SUM(H18:H32)</f>
        <v>727.64946852000003</v>
      </c>
    </row>
    <row r="35" spans="2:8" x14ac:dyDescent="0.25">
      <c r="D35" s="93" t="s">
        <v>94</v>
      </c>
      <c r="E35" s="93"/>
      <c r="F35" s="93"/>
      <c r="G35" s="93"/>
      <c r="H35" s="88"/>
    </row>
    <row r="36" spans="2:8" ht="30" customHeight="1" x14ac:dyDescent="0.25">
      <c r="D36" s="87" t="s">
        <v>102</v>
      </c>
      <c r="E36" s="87" t="s">
        <v>2</v>
      </c>
      <c r="F36" s="92" t="s">
        <v>108</v>
      </c>
      <c r="G36" s="92" t="s">
        <v>109</v>
      </c>
      <c r="H36" s="88" t="s">
        <v>104</v>
      </c>
    </row>
    <row r="37" spans="2:8" x14ac:dyDescent="0.25">
      <c r="D37" s="75" t="s">
        <v>92</v>
      </c>
      <c r="E37" s="75" t="s">
        <v>100</v>
      </c>
      <c r="F37" s="75">
        <f>+H16</f>
        <v>2059.3738699999999</v>
      </c>
      <c r="G37" s="75">
        <f>10.5*2</f>
        <v>21</v>
      </c>
      <c r="H37" s="75">
        <f>+F37*G37</f>
        <v>43246.851269999999</v>
      </c>
    </row>
    <row r="38" spans="2:8" x14ac:dyDescent="0.25">
      <c r="D38" s="75" t="s">
        <v>93</v>
      </c>
      <c r="E38" s="75" t="s">
        <v>100</v>
      </c>
      <c r="F38" s="75">
        <f>+H33</f>
        <v>727.64946852000003</v>
      </c>
      <c r="G38" s="75">
        <f>15*2</f>
        <v>30</v>
      </c>
      <c r="H38" s="75">
        <f>+F38*G38</f>
        <v>21829.484055600002</v>
      </c>
    </row>
    <row r="41" spans="2:8" ht="15.75" x14ac:dyDescent="0.25">
      <c r="B41" s="98" t="s">
        <v>95</v>
      </c>
      <c r="C41" s="98"/>
      <c r="D41" s="98"/>
      <c r="E41" s="98"/>
      <c r="F41" s="98"/>
      <c r="G41" s="98"/>
      <c r="H41" s="98"/>
    </row>
    <row r="42" spans="2:8" ht="15.75" x14ac:dyDescent="0.25">
      <c r="B42" s="99" t="s">
        <v>106</v>
      </c>
      <c r="C42" s="100"/>
      <c r="D42" s="100"/>
      <c r="E42" s="100"/>
      <c r="F42" s="100"/>
      <c r="G42" s="100"/>
      <c r="H42" s="101"/>
    </row>
    <row r="43" spans="2:8" ht="32.25" customHeight="1" x14ac:dyDescent="0.25">
      <c r="B43" s="93" t="s">
        <v>102</v>
      </c>
      <c r="C43" s="93"/>
      <c r="D43" s="87" t="s">
        <v>103</v>
      </c>
      <c r="E43" s="87" t="s">
        <v>2</v>
      </c>
      <c r="F43" s="96" t="s">
        <v>101</v>
      </c>
      <c r="G43" s="96"/>
      <c r="H43" s="88" t="s">
        <v>104</v>
      </c>
    </row>
    <row r="44" spans="2:8" x14ac:dyDescent="0.25">
      <c r="B44" s="95" t="s">
        <v>98</v>
      </c>
      <c r="C44" s="95"/>
      <c r="D44" s="75" t="s">
        <v>122</v>
      </c>
      <c r="E44" s="75" t="s">
        <v>100</v>
      </c>
      <c r="F44" s="75">
        <v>17</v>
      </c>
      <c r="G44" s="75" t="s">
        <v>96</v>
      </c>
      <c r="H44" s="75">
        <f>+F44*48*35</f>
        <v>28560</v>
      </c>
    </row>
    <row r="45" spans="2:8" x14ac:dyDescent="0.25">
      <c r="B45" s="95" t="s">
        <v>98</v>
      </c>
      <c r="C45" s="95"/>
      <c r="D45" s="75" t="s">
        <v>123</v>
      </c>
      <c r="E45" s="75" t="s">
        <v>100</v>
      </c>
      <c r="F45" s="75">
        <v>18</v>
      </c>
      <c r="G45" s="75" t="s">
        <v>96</v>
      </c>
      <c r="H45" s="75">
        <f t="shared" ref="H45:H49" si="3">+F45*48*35</f>
        <v>30240</v>
      </c>
    </row>
    <row r="46" spans="2:8" x14ac:dyDescent="0.25">
      <c r="B46" s="95" t="s">
        <v>98</v>
      </c>
      <c r="C46" s="95"/>
      <c r="D46" s="75" t="s">
        <v>124</v>
      </c>
      <c r="E46" s="75" t="s">
        <v>100</v>
      </c>
      <c r="F46" s="75">
        <v>14</v>
      </c>
      <c r="G46" s="75" t="s">
        <v>96</v>
      </c>
      <c r="H46" s="75">
        <f t="shared" si="3"/>
        <v>23520</v>
      </c>
    </row>
    <row r="47" spans="2:8" x14ac:dyDescent="0.25">
      <c r="B47" s="95" t="s">
        <v>98</v>
      </c>
      <c r="C47" s="95"/>
      <c r="D47" s="75" t="s">
        <v>125</v>
      </c>
      <c r="E47" s="75" t="s">
        <v>100</v>
      </c>
      <c r="F47" s="75">
        <v>14</v>
      </c>
      <c r="G47" s="75" t="s">
        <v>96</v>
      </c>
      <c r="H47" s="75">
        <f t="shared" si="3"/>
        <v>23520</v>
      </c>
    </row>
    <row r="48" spans="2:8" x14ac:dyDescent="0.25">
      <c r="B48" s="97" t="s">
        <v>105</v>
      </c>
      <c r="C48" s="97"/>
      <c r="D48" s="97"/>
      <c r="E48" s="97"/>
      <c r="F48" s="97"/>
      <c r="G48" s="97"/>
      <c r="H48" s="89">
        <f>+SUM(H44:H47)</f>
        <v>105840</v>
      </c>
    </row>
    <row r="49" spans="2:8" x14ac:dyDescent="0.25">
      <c r="B49" s="95" t="s">
        <v>99</v>
      </c>
      <c r="C49" s="95" t="s">
        <v>99</v>
      </c>
      <c r="D49" s="75" t="s">
        <v>97</v>
      </c>
      <c r="E49" s="75" t="s">
        <v>100</v>
      </c>
      <c r="F49" s="75">
        <v>25</v>
      </c>
      <c r="G49" s="75" t="s">
        <v>96</v>
      </c>
      <c r="H49" s="89">
        <f t="shared" si="3"/>
        <v>42000</v>
      </c>
    </row>
    <row r="51" spans="2:8" x14ac:dyDescent="0.25">
      <c r="B51" s="86"/>
      <c r="C51" s="86"/>
      <c r="D51" s="94" t="s">
        <v>107</v>
      </c>
      <c r="E51" s="94"/>
      <c r="F51" s="94"/>
      <c r="G51" s="94"/>
      <c r="H51" s="94"/>
    </row>
    <row r="52" spans="2:8" x14ac:dyDescent="0.25">
      <c r="B52" s="74"/>
      <c r="C52" s="74"/>
      <c r="D52" s="93" t="s">
        <v>102</v>
      </c>
      <c r="E52" s="93"/>
      <c r="F52" s="91" t="s">
        <v>111</v>
      </c>
      <c r="G52" s="91"/>
      <c r="H52" s="91" t="s">
        <v>112</v>
      </c>
    </row>
    <row r="53" spans="2:8" x14ac:dyDescent="0.25">
      <c r="D53" s="90" t="s">
        <v>98</v>
      </c>
      <c r="E53" s="90"/>
      <c r="F53" s="75">
        <f>+H48-H37</f>
        <v>62593.148730000001</v>
      </c>
      <c r="G53" s="75"/>
      <c r="H53" s="75">
        <f>+F53/G37</f>
        <v>2980.6261300000001</v>
      </c>
    </row>
    <row r="54" spans="2:8" x14ac:dyDescent="0.25">
      <c r="D54" s="90" t="s">
        <v>99</v>
      </c>
      <c r="E54" s="90"/>
      <c r="F54" s="75">
        <f>+H49-H38</f>
        <v>20170.515944399998</v>
      </c>
      <c r="G54" s="75"/>
      <c r="H54" s="75">
        <f>+F54/G38</f>
        <v>672.35053147999997</v>
      </c>
    </row>
  </sheetData>
  <mergeCells count="17">
    <mergeCell ref="B41:H41"/>
    <mergeCell ref="B42:H42"/>
    <mergeCell ref="C3:H3"/>
    <mergeCell ref="C16:G16"/>
    <mergeCell ref="C33:G33"/>
    <mergeCell ref="C11:C15"/>
    <mergeCell ref="D35:G35"/>
    <mergeCell ref="D52:E52"/>
    <mergeCell ref="D51:H51"/>
    <mergeCell ref="B49:C49"/>
    <mergeCell ref="F43:G43"/>
    <mergeCell ref="B43:C43"/>
    <mergeCell ref="B48:G48"/>
    <mergeCell ref="B44:C44"/>
    <mergeCell ref="B45:C45"/>
    <mergeCell ref="B46:C46"/>
    <mergeCell ref="B47:C47"/>
  </mergeCells>
  <pageMargins left="0.7" right="0.7" top="0.75" bottom="0.75" header="0.3" footer="0.3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11"/>
  <sheetViews>
    <sheetView showZeros="0" view="pageBreakPreview" topLeftCell="A10" zoomScale="70" zoomScaleNormal="70" zoomScaleSheetLayoutView="70" workbookViewId="0">
      <selection activeCell="E57" sqref="E5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35" t="s">
        <v>47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42">
        <v>46289</v>
      </c>
      <c r="E5" s="143"/>
      <c r="F5" s="144"/>
      <c r="G5" s="42"/>
      <c r="H5" s="43" t="s">
        <v>35</v>
      </c>
      <c r="I5" s="139" t="s">
        <v>46</v>
      </c>
      <c r="J5" s="140"/>
      <c r="K5" s="140"/>
      <c r="L5" s="14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136" t="s">
        <v>128</v>
      </c>
      <c r="E7" s="137"/>
      <c r="F7" s="138"/>
      <c r="G7" s="42"/>
      <c r="H7" s="43" t="s">
        <v>34</v>
      </c>
      <c r="I7" s="139" t="s">
        <v>57</v>
      </c>
      <c r="J7" s="140"/>
      <c r="K7" s="140"/>
      <c r="L7" s="14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39" t="s">
        <v>58</v>
      </c>
      <c r="E9" s="140"/>
      <c r="F9" s="141"/>
      <c r="G9" s="42"/>
      <c r="H9" s="43" t="s">
        <v>36</v>
      </c>
      <c r="I9" s="139" t="s">
        <v>126</v>
      </c>
      <c r="J9" s="140"/>
      <c r="K9" s="140"/>
      <c r="L9" s="14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 t="s">
        <v>11</v>
      </c>
      <c r="C12" s="145"/>
      <c r="D12" s="146"/>
      <c r="E12" s="147"/>
      <c r="F12" s="148"/>
      <c r="G12" s="148"/>
      <c r="H12" s="148"/>
      <c r="I12" s="148"/>
      <c r="J12" s="148"/>
      <c r="K12" s="148"/>
      <c r="L12" s="149"/>
      <c r="M12" s="1"/>
    </row>
    <row r="13" spans="2:13" ht="15.75" thickBot="1" x14ac:dyDescent="0.3">
      <c r="B13" s="145"/>
      <c r="C13" s="145"/>
      <c r="D13" s="146"/>
      <c r="E13" s="150"/>
      <c r="F13" s="151"/>
      <c r="G13" s="151"/>
      <c r="H13" s="151"/>
      <c r="I13" s="151"/>
      <c r="J13" s="151"/>
      <c r="K13" s="151"/>
      <c r="L13" s="15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68" t="s">
        <v>17</v>
      </c>
      <c r="C15" s="168"/>
      <c r="D15" s="169"/>
      <c r="E15" s="34"/>
      <c r="F15" s="157" t="s">
        <v>37</v>
      </c>
      <c r="G15" s="157"/>
      <c r="H15" s="157"/>
      <c r="I15" s="157"/>
      <c r="J15" s="157"/>
      <c r="K15" s="157"/>
      <c r="L15" s="158"/>
      <c r="M15" s="1"/>
    </row>
    <row r="16" spans="2:13" ht="4.1500000000000004" customHeight="1" x14ac:dyDescent="0.25">
      <c r="B16" s="168"/>
      <c r="C16" s="168"/>
      <c r="D16" s="169"/>
      <c r="E16" s="159"/>
      <c r="F16" s="160"/>
      <c r="G16" s="160"/>
      <c r="H16" s="160"/>
      <c r="I16" s="160"/>
      <c r="J16" s="160"/>
      <c r="K16" s="160"/>
      <c r="L16" s="161"/>
      <c r="M16" s="1"/>
    </row>
    <row r="17" spans="2:13" ht="25.9" customHeight="1" x14ac:dyDescent="0.25">
      <c r="B17" s="168"/>
      <c r="C17" s="168"/>
      <c r="D17" s="16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68"/>
      <c r="C18" s="168"/>
      <c r="D18" s="169"/>
      <c r="E18" s="159"/>
      <c r="F18" s="160"/>
      <c r="G18" s="160"/>
      <c r="H18" s="160"/>
      <c r="I18" s="160"/>
      <c r="J18" s="160"/>
      <c r="K18" s="160"/>
      <c r="L18" s="161"/>
      <c r="M18" s="1"/>
    </row>
    <row r="19" spans="2:13" ht="25.9" customHeight="1" thickBot="1" x14ac:dyDescent="0.3">
      <c r="B19" s="168"/>
      <c r="C19" s="168"/>
      <c r="D19" s="169"/>
      <c r="E19" s="35"/>
      <c r="F19" s="36" t="s">
        <v>16</v>
      </c>
      <c r="G19" s="36"/>
      <c r="H19" s="36"/>
      <c r="I19" s="170"/>
      <c r="J19" s="171"/>
      <c r="K19" s="172"/>
      <c r="L19" s="38"/>
      <c r="M19" s="1"/>
    </row>
    <row r="20" spans="2:13" ht="4.1500000000000004" customHeight="1" thickBot="1" x14ac:dyDescent="0.3">
      <c r="B20" s="168"/>
      <c r="C20" s="168"/>
      <c r="D20" s="169"/>
      <c r="E20" s="159"/>
      <c r="F20" s="160"/>
      <c r="G20" s="160"/>
      <c r="H20" s="160"/>
      <c r="I20" s="160"/>
      <c r="J20" s="160"/>
      <c r="K20" s="160"/>
      <c r="L20" s="161"/>
      <c r="M20" s="1"/>
    </row>
    <row r="21" spans="2:13" ht="25.9" customHeight="1" thickBot="1" x14ac:dyDescent="0.3">
      <c r="B21" s="168"/>
      <c r="C21" s="168"/>
      <c r="D21" s="169"/>
      <c r="E21" s="35"/>
      <c r="F21" s="36" t="s">
        <v>7</v>
      </c>
      <c r="G21" s="36"/>
      <c r="H21" s="36"/>
      <c r="I21" s="170"/>
      <c r="J21" s="171"/>
      <c r="K21" s="172"/>
      <c r="L21" s="38"/>
      <c r="M21" s="1"/>
    </row>
    <row r="22" spans="2:13" ht="4.1500000000000004" customHeight="1" thickBot="1" x14ac:dyDescent="0.3">
      <c r="B22" s="168"/>
      <c r="C22" s="168"/>
      <c r="D22" s="169"/>
      <c r="E22" s="159"/>
      <c r="F22" s="160"/>
      <c r="G22" s="160"/>
      <c r="H22" s="160"/>
      <c r="I22" s="160"/>
      <c r="J22" s="160"/>
      <c r="K22" s="160"/>
      <c r="L22" s="161"/>
      <c r="M22" s="1"/>
    </row>
    <row r="23" spans="2:13" ht="25.9" customHeight="1" thickBot="1" x14ac:dyDescent="0.3">
      <c r="B23" s="168"/>
      <c r="C23" s="168"/>
      <c r="D23" s="169"/>
      <c r="E23" s="35"/>
      <c r="F23" s="164" t="s">
        <v>26</v>
      </c>
      <c r="G23" s="164"/>
      <c r="H23" s="165"/>
      <c r="I23" s="170"/>
      <c r="J23" s="171"/>
      <c r="K23" s="172"/>
      <c r="L23" s="38"/>
      <c r="M23" s="1"/>
    </row>
    <row r="24" spans="2:13" ht="4.1500000000000004" customHeight="1" x14ac:dyDescent="0.25">
      <c r="B24" s="168"/>
      <c r="C24" s="168"/>
      <c r="D24" s="169"/>
      <c r="E24" s="159"/>
      <c r="F24" s="160"/>
      <c r="G24" s="160"/>
      <c r="H24" s="160"/>
      <c r="I24" s="160"/>
      <c r="J24" s="160"/>
      <c r="K24" s="160"/>
      <c r="L24" s="161"/>
      <c r="M24" s="1"/>
    </row>
    <row r="25" spans="2:13" ht="25.9" customHeight="1" thickBot="1" x14ac:dyDescent="0.3">
      <c r="B25" s="168"/>
      <c r="C25" s="168"/>
      <c r="D25" s="169"/>
      <c r="E25" s="39"/>
      <c r="F25" s="162" t="s">
        <v>38</v>
      </c>
      <c r="G25" s="162"/>
      <c r="H25" s="162"/>
      <c r="I25" s="162"/>
      <c r="J25" s="162"/>
      <c r="K25" s="162"/>
      <c r="L25" s="163"/>
      <c r="M25" s="1"/>
    </row>
    <row r="26" spans="2:13" ht="10.9" customHeight="1" thickBot="1" x14ac:dyDescent="0.3">
      <c r="B26" s="33"/>
      <c r="C26" s="33"/>
      <c r="D26" s="33"/>
      <c r="E26" s="171"/>
      <c r="F26" s="171"/>
      <c r="G26" s="171"/>
      <c r="H26" s="171"/>
      <c r="I26" s="171"/>
      <c r="J26" s="171"/>
      <c r="K26" s="171"/>
      <c r="L26" s="171"/>
      <c r="M26" s="1"/>
    </row>
    <row r="27" spans="2:13" x14ac:dyDescent="0.25">
      <c r="B27" s="168" t="s">
        <v>23</v>
      </c>
      <c r="C27" s="168"/>
      <c r="D27" s="16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68"/>
      <c r="C28" s="168"/>
      <c r="D28" s="169"/>
      <c r="E28" s="173" t="s">
        <v>127</v>
      </c>
      <c r="F28" s="174"/>
      <c r="G28" s="174"/>
      <c r="H28" s="174"/>
      <c r="I28" s="174"/>
      <c r="J28" s="174"/>
      <c r="K28" s="174"/>
      <c r="L28" s="175"/>
      <c r="M28" s="1"/>
    </row>
    <row r="29" spans="2:13" x14ac:dyDescent="0.25">
      <c r="B29" s="168"/>
      <c r="C29" s="168"/>
      <c r="D29" s="169"/>
      <c r="E29" s="173"/>
      <c r="F29" s="174"/>
      <c r="G29" s="174"/>
      <c r="H29" s="174"/>
      <c r="I29" s="174"/>
      <c r="J29" s="174"/>
      <c r="K29" s="174"/>
      <c r="L29" s="175"/>
      <c r="M29" s="1"/>
    </row>
    <row r="30" spans="2:13" x14ac:dyDescent="0.25">
      <c r="B30" s="168"/>
      <c r="C30" s="168"/>
      <c r="D30" s="169"/>
      <c r="E30" s="173"/>
      <c r="F30" s="174"/>
      <c r="G30" s="174"/>
      <c r="H30" s="174"/>
      <c r="I30" s="174"/>
      <c r="J30" s="174"/>
      <c r="K30" s="174"/>
      <c r="L30" s="175"/>
      <c r="M30" s="1"/>
    </row>
    <row r="31" spans="2:13" ht="15.75" thickBot="1" x14ac:dyDescent="0.3">
      <c r="B31" s="168"/>
      <c r="C31" s="168"/>
      <c r="D31" s="169"/>
      <c r="E31" s="176"/>
      <c r="F31" s="177"/>
      <c r="G31" s="177"/>
      <c r="H31" s="177"/>
      <c r="I31" s="177"/>
      <c r="J31" s="177"/>
      <c r="K31" s="177"/>
      <c r="L31" s="178"/>
      <c r="M31" s="1"/>
    </row>
    <row r="32" spans="2:13" x14ac:dyDescent="0.25">
      <c r="B32" s="168"/>
      <c r="C32" s="168"/>
      <c r="D32" s="16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68"/>
      <c r="C33" s="168"/>
      <c r="D33" s="16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68"/>
      <c r="C34" s="168"/>
      <c r="D34" s="16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68"/>
      <c r="C35" s="168"/>
      <c r="D35" s="16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68"/>
      <c r="C36" s="168"/>
      <c r="D36" s="16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3" t="s">
        <v>12</v>
      </c>
      <c r="C38" s="154"/>
      <c r="D38" s="166" t="s">
        <v>13</v>
      </c>
      <c r="E38" s="158"/>
      <c r="F38" s="166" t="s">
        <v>30</v>
      </c>
      <c r="G38" s="157"/>
      <c r="H38" s="158"/>
      <c r="I38" s="157" t="s">
        <v>18</v>
      </c>
      <c r="J38" s="157"/>
      <c r="K38" s="157"/>
      <c r="L38" s="158"/>
      <c r="M38" s="1"/>
    </row>
    <row r="39" spans="2:13" ht="15.75" thickBot="1" x14ac:dyDescent="0.3">
      <c r="B39" s="155"/>
      <c r="C39" s="156"/>
      <c r="D39" s="167"/>
      <c r="E39" s="163"/>
      <c r="F39" s="167"/>
      <c r="G39" s="162"/>
      <c r="H39" s="163"/>
      <c r="I39" s="162"/>
      <c r="J39" s="162"/>
      <c r="K39" s="162"/>
      <c r="L39" s="16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50</v>
      </c>
      <c r="C41" s="53" t="s">
        <v>53</v>
      </c>
      <c r="D41" s="54" t="s">
        <v>60</v>
      </c>
      <c r="E41" s="54"/>
      <c r="F41" s="54"/>
      <c r="G41" s="54"/>
      <c r="H41" s="131"/>
      <c r="I41" s="131"/>
      <c r="J41" s="131"/>
      <c r="K41" s="131"/>
      <c r="L41" s="13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12" t="s">
        <v>4</v>
      </c>
      <c r="I42" s="112"/>
      <c r="J42" s="112" t="s">
        <v>5</v>
      </c>
      <c r="K42" s="112"/>
      <c r="L42" s="113"/>
    </row>
    <row r="43" spans="2:13" ht="25.15" customHeight="1" x14ac:dyDescent="0.25">
      <c r="B43" s="2">
        <v>1</v>
      </c>
      <c r="C43" s="133" t="s">
        <v>61</v>
      </c>
      <c r="D43" s="134"/>
      <c r="E43" s="55">
        <f t="shared" ref="E43:E44" si="0">+$D$5</f>
        <v>46289</v>
      </c>
      <c r="F43" s="70" t="s">
        <v>62</v>
      </c>
      <c r="G43" s="70">
        <f>+'tüm duvarlar'!H53</f>
        <v>2980.6261300000001</v>
      </c>
      <c r="H43" s="130"/>
      <c r="I43" s="130"/>
      <c r="J43" s="128">
        <f>+H43*G43</f>
        <v>0</v>
      </c>
      <c r="K43" s="128"/>
      <c r="L43" s="129"/>
    </row>
    <row r="44" spans="2:13" ht="25.15" customHeight="1" x14ac:dyDescent="0.25">
      <c r="B44" s="2">
        <v>2</v>
      </c>
      <c r="C44" s="133" t="s">
        <v>63</v>
      </c>
      <c r="D44" s="134"/>
      <c r="E44" s="69">
        <f t="shared" si="0"/>
        <v>46289</v>
      </c>
      <c r="F44" s="73" t="s">
        <v>62</v>
      </c>
      <c r="G44" s="73">
        <f>+'tüm duvarlar'!H54</f>
        <v>672.35053147999997</v>
      </c>
      <c r="H44" s="130"/>
      <c r="I44" s="130"/>
      <c r="J44" s="128">
        <f>+H44*G44</f>
        <v>0</v>
      </c>
      <c r="K44" s="128"/>
      <c r="L44" s="129"/>
    </row>
    <row r="45" spans="2:13" ht="25.15" customHeight="1" x14ac:dyDescent="0.25">
      <c r="B45" s="2">
        <v>3</v>
      </c>
      <c r="C45" s="133"/>
      <c r="D45" s="134"/>
      <c r="E45" s="69"/>
      <c r="F45" s="71"/>
      <c r="G45" s="71"/>
      <c r="H45" s="130"/>
      <c r="I45" s="130"/>
      <c r="J45" s="128">
        <f t="shared" ref="J45:J60" si="1">+H45*G45</f>
        <v>0</v>
      </c>
      <c r="K45" s="128"/>
      <c r="L45" s="129"/>
    </row>
    <row r="46" spans="2:13" ht="25.15" customHeight="1" x14ac:dyDescent="0.25">
      <c r="B46" s="2">
        <v>4</v>
      </c>
      <c r="C46" s="133"/>
      <c r="D46" s="134"/>
      <c r="E46" s="69"/>
      <c r="F46" s="72"/>
      <c r="G46" s="72"/>
      <c r="H46" s="130"/>
      <c r="I46" s="130"/>
      <c r="J46" s="128">
        <f t="shared" ref="J46:J52" si="2">+H46*G46</f>
        <v>0</v>
      </c>
      <c r="K46" s="128"/>
      <c r="L46" s="129"/>
    </row>
    <row r="47" spans="2:13" ht="25.15" customHeight="1" x14ac:dyDescent="0.25">
      <c r="B47" s="2">
        <v>5</v>
      </c>
      <c r="C47" s="133"/>
      <c r="D47" s="134"/>
      <c r="E47" s="69"/>
      <c r="F47" s="72"/>
      <c r="G47" s="72"/>
      <c r="H47" s="130"/>
      <c r="I47" s="130"/>
      <c r="J47" s="128">
        <f t="shared" si="2"/>
        <v>0</v>
      </c>
      <c r="K47" s="128"/>
      <c r="L47" s="129"/>
    </row>
    <row r="48" spans="2:13" ht="25.15" customHeight="1" x14ac:dyDescent="0.25">
      <c r="B48" s="2">
        <v>6</v>
      </c>
      <c r="C48" s="133"/>
      <c r="D48" s="134"/>
      <c r="E48" s="69"/>
      <c r="F48" s="72"/>
      <c r="G48" s="72"/>
      <c r="H48" s="130"/>
      <c r="I48" s="130"/>
      <c r="J48" s="128">
        <f t="shared" si="2"/>
        <v>0</v>
      </c>
      <c r="K48" s="128"/>
      <c r="L48" s="129"/>
    </row>
    <row r="49" spans="2:12" ht="25.15" customHeight="1" x14ac:dyDescent="0.25">
      <c r="B49" s="2">
        <v>7</v>
      </c>
      <c r="C49" s="133"/>
      <c r="D49" s="134"/>
      <c r="E49" s="69"/>
      <c r="F49" s="72"/>
      <c r="G49" s="72"/>
      <c r="H49" s="130"/>
      <c r="I49" s="130"/>
      <c r="J49" s="128">
        <f t="shared" si="2"/>
        <v>0</v>
      </c>
      <c r="K49" s="128"/>
      <c r="L49" s="129"/>
    </row>
    <row r="50" spans="2:12" ht="25.15" customHeight="1" x14ac:dyDescent="0.25">
      <c r="B50" s="2">
        <v>8</v>
      </c>
      <c r="C50" s="133"/>
      <c r="D50" s="134"/>
      <c r="E50" s="69"/>
      <c r="F50" s="72"/>
      <c r="G50" s="72"/>
      <c r="H50" s="130"/>
      <c r="I50" s="130"/>
      <c r="J50" s="128">
        <f t="shared" si="2"/>
        <v>0</v>
      </c>
      <c r="K50" s="128"/>
      <c r="L50" s="129"/>
    </row>
    <row r="51" spans="2:12" ht="25.15" customHeight="1" x14ac:dyDescent="0.25">
      <c r="B51" s="2">
        <v>9</v>
      </c>
      <c r="C51" s="133"/>
      <c r="D51" s="134"/>
      <c r="E51" s="69"/>
      <c r="F51" s="72"/>
      <c r="G51" s="72"/>
      <c r="H51" s="130"/>
      <c r="I51" s="130"/>
      <c r="J51" s="128">
        <f t="shared" si="2"/>
        <v>0</v>
      </c>
      <c r="K51" s="128"/>
      <c r="L51" s="129"/>
    </row>
    <row r="52" spans="2:12" ht="25.15" customHeight="1" thickBot="1" x14ac:dyDescent="0.3">
      <c r="B52" s="2">
        <v>10</v>
      </c>
      <c r="C52" s="133"/>
      <c r="D52" s="134"/>
      <c r="E52" s="69"/>
      <c r="F52" s="72"/>
      <c r="G52" s="72"/>
      <c r="H52" s="130"/>
      <c r="I52" s="130"/>
      <c r="J52" s="128">
        <f t="shared" si="2"/>
        <v>0</v>
      </c>
      <c r="K52" s="128"/>
      <c r="L52" s="129"/>
    </row>
    <row r="53" spans="2:12" ht="25.15" customHeight="1" thickBot="1" x14ac:dyDescent="0.3">
      <c r="B53" s="126" t="s">
        <v>55</v>
      </c>
      <c r="C53" s="126"/>
      <c r="D53" s="126"/>
      <c r="E53" s="126"/>
      <c r="F53" s="126"/>
      <c r="G53" s="126"/>
      <c r="H53" s="126"/>
      <c r="I53" s="126"/>
      <c r="J53" s="121">
        <f>+SUM(J43:L52)</f>
        <v>0</v>
      </c>
      <c r="K53" s="122"/>
      <c r="L53" s="123"/>
    </row>
    <row r="54" spans="2:12" ht="25.15" customHeight="1" thickBot="1" x14ac:dyDescent="0.3">
      <c r="B54" s="3" t="s">
        <v>51</v>
      </c>
      <c r="C54" s="53" t="s">
        <v>52</v>
      </c>
      <c r="D54" s="54"/>
      <c r="E54" s="54"/>
      <c r="F54" s="54"/>
      <c r="G54" s="54"/>
      <c r="H54" s="131"/>
      <c r="I54" s="131"/>
      <c r="J54" s="131"/>
      <c r="K54" s="131"/>
      <c r="L54" s="132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12" t="s">
        <v>4</v>
      </c>
      <c r="I55" s="112"/>
      <c r="J55" s="112" t="s">
        <v>5</v>
      </c>
      <c r="K55" s="112"/>
      <c r="L55" s="113"/>
    </row>
    <row r="56" spans="2:12" ht="25.15" customHeight="1" x14ac:dyDescent="0.25">
      <c r="B56" s="2">
        <v>1</v>
      </c>
      <c r="C56" s="127"/>
      <c r="D56" s="118"/>
      <c r="E56" s="69"/>
      <c r="F56" s="48"/>
      <c r="G56" s="48"/>
      <c r="H56" s="117"/>
      <c r="I56" s="118"/>
      <c r="J56" s="117">
        <f t="shared" si="1"/>
        <v>0</v>
      </c>
      <c r="K56" s="118"/>
      <c r="L56" s="119"/>
    </row>
    <row r="57" spans="2:12" ht="25.15" customHeight="1" x14ac:dyDescent="0.25">
      <c r="B57" s="2">
        <v>2</v>
      </c>
      <c r="C57" s="127"/>
      <c r="D57" s="118"/>
      <c r="E57" s="55"/>
      <c r="F57" s="48"/>
      <c r="G57" s="48"/>
      <c r="H57" s="117"/>
      <c r="I57" s="118"/>
      <c r="J57" s="117">
        <f t="shared" si="1"/>
        <v>0</v>
      </c>
      <c r="K57" s="118"/>
      <c r="L57" s="119"/>
    </row>
    <row r="58" spans="2:12" ht="25.15" customHeight="1" x14ac:dyDescent="0.25">
      <c r="B58" s="2">
        <v>3</v>
      </c>
      <c r="C58" s="127"/>
      <c r="D58" s="118"/>
      <c r="E58" s="55"/>
      <c r="F58" s="48"/>
      <c r="G58" s="48"/>
      <c r="H58" s="117"/>
      <c r="I58" s="118"/>
      <c r="J58" s="117">
        <f t="shared" si="1"/>
        <v>0</v>
      </c>
      <c r="K58" s="118"/>
      <c r="L58" s="119"/>
    </row>
    <row r="59" spans="2:12" ht="25.15" customHeight="1" x14ac:dyDescent="0.25">
      <c r="B59" s="2">
        <v>4</v>
      </c>
      <c r="C59" s="127"/>
      <c r="D59" s="118"/>
      <c r="E59" s="55"/>
      <c r="F59" s="48"/>
      <c r="G59" s="48"/>
      <c r="H59" s="117"/>
      <c r="I59" s="118"/>
      <c r="J59" s="117">
        <f t="shared" si="1"/>
        <v>0</v>
      </c>
      <c r="K59" s="118"/>
      <c r="L59" s="119"/>
    </row>
    <row r="60" spans="2:12" ht="25.15" customHeight="1" thickBot="1" x14ac:dyDescent="0.3">
      <c r="B60" s="2">
        <v>5</v>
      </c>
      <c r="C60" s="127"/>
      <c r="D60" s="118"/>
      <c r="E60" s="47"/>
      <c r="F60" s="48"/>
      <c r="G60" s="48"/>
      <c r="H60" s="117"/>
      <c r="I60" s="118"/>
      <c r="J60" s="117">
        <f t="shared" si="1"/>
        <v>0</v>
      </c>
      <c r="K60" s="118"/>
      <c r="L60" s="119"/>
    </row>
    <row r="61" spans="2:12" ht="25.15" customHeight="1" thickBot="1" x14ac:dyDescent="0.3">
      <c r="B61" s="126" t="s">
        <v>55</v>
      </c>
      <c r="C61" s="126"/>
      <c r="D61" s="126"/>
      <c r="E61" s="126"/>
      <c r="F61" s="126"/>
      <c r="G61" s="126"/>
      <c r="H61" s="126"/>
      <c r="I61" s="126"/>
      <c r="J61" s="121">
        <f>+SUM(J56:L60)</f>
        <v>0</v>
      </c>
      <c r="K61" s="122"/>
      <c r="L61" s="123"/>
    </row>
    <row r="62" spans="2:12" ht="25.15" customHeight="1" thickBot="1" x14ac:dyDescent="0.3">
      <c r="B62" s="126" t="s">
        <v>6</v>
      </c>
      <c r="C62" s="126"/>
      <c r="D62" s="126"/>
      <c r="E62" s="126"/>
      <c r="F62" s="126"/>
      <c r="G62" s="126"/>
      <c r="H62" s="126"/>
      <c r="I62" s="126"/>
      <c r="J62" s="121">
        <f>+J61+J53</f>
        <v>0</v>
      </c>
      <c r="K62" s="122"/>
      <c r="L62" s="123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20"/>
      <c r="I63" s="120"/>
      <c r="J63" s="124"/>
      <c r="K63" s="125"/>
      <c r="L63" s="125"/>
    </row>
    <row r="64" spans="2:12" ht="21" customHeight="1" x14ac:dyDescent="0.25">
      <c r="B64" s="114" t="s">
        <v>15</v>
      </c>
      <c r="C64" s="115"/>
      <c r="D64" s="115"/>
      <c r="E64" s="186"/>
      <c r="F64" s="115" t="s">
        <v>14</v>
      </c>
      <c r="G64" s="115"/>
      <c r="H64" s="186"/>
      <c r="I64" s="114" t="s">
        <v>22</v>
      </c>
      <c r="J64" s="115"/>
      <c r="K64" s="115"/>
      <c r="L64" s="116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87" t="s">
        <v>29</v>
      </c>
      <c r="G66" s="188"/>
      <c r="H66" s="1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0"/>
      <c r="G67" s="188"/>
      <c r="H67" s="189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87"/>
      <c r="G68" s="188"/>
      <c r="H68" s="189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0"/>
      <c r="G69" s="188"/>
      <c r="H69" s="189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208" t="s">
        <v>27</v>
      </c>
      <c r="C75" s="115"/>
      <c r="D75" s="115"/>
      <c r="E75" s="186"/>
      <c r="F75" s="115" t="s">
        <v>49</v>
      </c>
      <c r="G75" s="115"/>
      <c r="H75" s="186"/>
      <c r="I75" s="114" t="s">
        <v>31</v>
      </c>
      <c r="J75" s="115"/>
      <c r="K75" s="115"/>
      <c r="L75" s="116"/>
    </row>
    <row r="76" spans="2:12" ht="19.899999999999999" customHeight="1" x14ac:dyDescent="0.25">
      <c r="B76" s="180"/>
      <c r="C76" s="181"/>
      <c r="D76" s="181"/>
      <c r="E76" s="182"/>
      <c r="F76" s="193" t="s">
        <v>56</v>
      </c>
      <c r="G76" s="194"/>
      <c r="H76" s="195"/>
      <c r="I76" s="199" t="s">
        <v>25</v>
      </c>
      <c r="J76" s="200"/>
      <c r="K76" s="200"/>
      <c r="L76" s="201"/>
    </row>
    <row r="77" spans="2:12" ht="19.899999999999999" customHeight="1" x14ac:dyDescent="0.25">
      <c r="B77" s="183"/>
      <c r="C77" s="184"/>
      <c r="D77" s="184"/>
      <c r="E77" s="185"/>
      <c r="F77" s="196"/>
      <c r="G77" s="197"/>
      <c r="H77" s="198"/>
      <c r="I77" s="202"/>
      <c r="J77" s="203"/>
      <c r="K77" s="203"/>
      <c r="L77" s="204"/>
    </row>
    <row r="78" spans="2:12" ht="19.899999999999999" customHeight="1" x14ac:dyDescent="0.25">
      <c r="B78" s="183"/>
      <c r="C78" s="184"/>
      <c r="D78" s="184"/>
      <c r="E78" s="185"/>
      <c r="F78" s="196"/>
      <c r="G78" s="197"/>
      <c r="H78" s="198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205"/>
      <c r="J79" s="206"/>
      <c r="K79" s="206"/>
      <c r="L79" s="207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205"/>
      <c r="J80" s="206"/>
      <c r="K80" s="206"/>
      <c r="L80" s="207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114" t="s">
        <v>24</v>
      </c>
      <c r="C86" s="115"/>
      <c r="D86" s="115"/>
      <c r="E86" s="186"/>
      <c r="F86" s="115" t="s">
        <v>45</v>
      </c>
      <c r="G86" s="115"/>
      <c r="H86" s="186"/>
      <c r="I86" s="50" t="s">
        <v>48</v>
      </c>
      <c r="J86" s="51"/>
      <c r="K86" s="52" t="s">
        <v>41</v>
      </c>
      <c r="L86" s="52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91" t="s">
        <v>43</v>
      </c>
      <c r="D88" s="191"/>
      <c r="E88" s="192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91"/>
      <c r="D89" s="191"/>
      <c r="E89" s="19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44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91"/>
      <c r="D91" s="191"/>
      <c r="E91" s="192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91"/>
      <c r="D92" s="191"/>
      <c r="E92" s="192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114" t="s">
        <v>42</v>
      </c>
      <c r="C96" s="115"/>
      <c r="D96" s="115"/>
      <c r="E96" s="186"/>
      <c r="F96" s="115" t="s">
        <v>32</v>
      </c>
      <c r="G96" s="115"/>
      <c r="H96" s="186"/>
      <c r="I96" s="114" t="s">
        <v>28</v>
      </c>
      <c r="J96" s="115"/>
      <c r="K96" s="115"/>
      <c r="L96" s="116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91"/>
      <c r="D98" s="191"/>
      <c r="E98" s="192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91"/>
      <c r="D99" s="191"/>
      <c r="E99" s="19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91"/>
      <c r="D101" s="191"/>
      <c r="E101" s="192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91"/>
      <c r="D102" s="191"/>
      <c r="E102" s="192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79" t="s">
        <v>54</v>
      </c>
      <c r="D107" s="179"/>
      <c r="E107" s="179"/>
      <c r="F107" s="179"/>
      <c r="G107" s="179"/>
      <c r="H107" s="179"/>
      <c r="I107" s="179"/>
      <c r="J107" s="179"/>
      <c r="K107" s="179"/>
      <c r="L107" s="4"/>
    </row>
    <row r="108" spans="2:12" ht="16.149999999999999" customHeight="1" x14ac:dyDescent="0.25">
      <c r="B108" s="4"/>
      <c r="C108" s="179"/>
      <c r="D108" s="179"/>
      <c r="E108" s="179"/>
      <c r="F108" s="179"/>
      <c r="G108" s="179"/>
      <c r="H108" s="179"/>
      <c r="I108" s="179"/>
      <c r="J108" s="179"/>
      <c r="K108" s="179"/>
      <c r="L108" s="4"/>
    </row>
    <row r="109" spans="2:12" ht="16.149999999999999" customHeight="1" x14ac:dyDescent="0.25">
      <c r="B109" s="4"/>
      <c r="C109" s="179"/>
      <c r="D109" s="179"/>
      <c r="E109" s="179"/>
      <c r="F109" s="179"/>
      <c r="G109" s="179"/>
      <c r="H109" s="179"/>
      <c r="I109" s="179"/>
      <c r="J109" s="179"/>
      <c r="K109" s="179"/>
      <c r="L109" s="4"/>
    </row>
    <row r="110" spans="2:12" ht="16.149999999999999" customHeight="1" x14ac:dyDescent="0.25">
      <c r="B110" s="4"/>
      <c r="C110" s="179"/>
      <c r="D110" s="179"/>
      <c r="E110" s="179"/>
      <c r="F110" s="179"/>
      <c r="G110" s="179"/>
      <c r="H110" s="179"/>
      <c r="I110" s="179"/>
      <c r="J110" s="179"/>
      <c r="K110" s="17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M105"/>
  <sheetViews>
    <sheetView showZeros="0" view="pageBreakPreview" topLeftCell="A7" zoomScale="40" zoomScaleNormal="70" zoomScaleSheetLayoutView="40" workbookViewId="0">
      <selection activeCell="F59" sqref="F59:H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35" t="s">
        <v>59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5" t="s">
        <v>8</v>
      </c>
      <c r="C5" s="145"/>
      <c r="D5" s="142">
        <f>'İLAVE İS TUT.'!D5</f>
        <v>46289</v>
      </c>
      <c r="E5" s="143"/>
      <c r="F5" s="144"/>
      <c r="G5" s="42"/>
      <c r="H5" s="43" t="s">
        <v>35</v>
      </c>
      <c r="I5" s="139" t="s">
        <v>46</v>
      </c>
      <c r="J5" s="140"/>
      <c r="K5" s="140"/>
      <c r="L5" s="14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5" t="s">
        <v>9</v>
      </c>
      <c r="C7" s="146"/>
      <c r="D7" s="209" t="str">
        <f>'İLAVE İS TUT.'!D7</f>
        <v>267</v>
      </c>
      <c r="E7" s="140"/>
      <c r="F7" s="141"/>
      <c r="G7" s="42"/>
      <c r="H7" s="43" t="s">
        <v>34</v>
      </c>
      <c r="I7" s="139" t="s">
        <v>57</v>
      </c>
      <c r="J7" s="140"/>
      <c r="K7" s="140"/>
      <c r="L7" s="14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5" t="s">
        <v>10</v>
      </c>
      <c r="C9" s="146"/>
      <c r="D9" s="139" t="s">
        <v>58</v>
      </c>
      <c r="E9" s="140"/>
      <c r="F9" s="141"/>
      <c r="G9" s="42"/>
      <c r="H9" s="43" t="s">
        <v>36</v>
      </c>
      <c r="I9" s="139" t="str">
        <f>'İLAVE İS TUT.'!I9</f>
        <v>C5/ 0.20/MC10,MC11,MC06,MC19</v>
      </c>
      <c r="J9" s="140"/>
      <c r="K9" s="140"/>
      <c r="L9" s="14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5"/>
      <c r="C12" s="145"/>
      <c r="D12" s="145"/>
      <c r="E12" s="164"/>
      <c r="F12" s="164"/>
      <c r="G12" s="164"/>
      <c r="H12" s="164"/>
      <c r="I12" s="164"/>
      <c r="J12" s="164"/>
      <c r="K12" s="164"/>
      <c r="L12" s="164"/>
      <c r="M12" s="1"/>
    </row>
    <row r="13" spans="2:13" x14ac:dyDescent="0.25">
      <c r="B13" s="145"/>
      <c r="C13" s="145"/>
      <c r="D13" s="145"/>
      <c r="E13" s="164"/>
      <c r="F13" s="164"/>
      <c r="G13" s="164"/>
      <c r="H13" s="164"/>
      <c r="I13" s="164"/>
      <c r="J13" s="164"/>
      <c r="K13" s="164"/>
      <c r="L13" s="16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68"/>
      <c r="C15" s="168"/>
      <c r="D15" s="168"/>
      <c r="E15" s="36"/>
      <c r="F15" s="210"/>
      <c r="G15" s="210"/>
      <c r="H15" s="210"/>
      <c r="I15" s="210"/>
      <c r="J15" s="210"/>
      <c r="K15" s="210"/>
      <c r="L15" s="210"/>
      <c r="M15" s="1"/>
    </row>
    <row r="16" spans="2:13" ht="4.1500000000000004" customHeight="1" x14ac:dyDescent="0.25">
      <c r="B16" s="168"/>
      <c r="C16" s="168"/>
      <c r="D16" s="168"/>
      <c r="E16" s="160"/>
      <c r="F16" s="160"/>
      <c r="G16" s="160"/>
      <c r="H16" s="160"/>
      <c r="I16" s="160"/>
      <c r="J16" s="160"/>
      <c r="K16" s="160"/>
      <c r="L16" s="160"/>
      <c r="M16" s="1"/>
    </row>
    <row r="17" spans="2:13" ht="25.9" customHeight="1" x14ac:dyDescent="0.25">
      <c r="B17" s="168"/>
      <c r="C17" s="168"/>
      <c r="D17" s="168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68"/>
      <c r="C18" s="168"/>
      <c r="D18" s="168"/>
      <c r="E18" s="160"/>
      <c r="F18" s="160"/>
      <c r="G18" s="160"/>
      <c r="H18" s="160"/>
      <c r="I18" s="160"/>
      <c r="J18" s="160"/>
      <c r="K18" s="160"/>
      <c r="L18" s="160"/>
      <c r="M18" s="1"/>
    </row>
    <row r="19" spans="2:13" ht="25.9" customHeight="1" x14ac:dyDescent="0.25">
      <c r="B19" s="168"/>
      <c r="C19" s="168"/>
      <c r="D19" s="168"/>
      <c r="E19" s="36"/>
      <c r="F19" s="36"/>
      <c r="G19" s="36"/>
      <c r="H19" s="36"/>
      <c r="I19" s="160"/>
      <c r="J19" s="160"/>
      <c r="K19" s="160"/>
      <c r="L19" s="36"/>
      <c r="M19" s="1"/>
    </row>
    <row r="20" spans="2:13" ht="4.1500000000000004" customHeight="1" x14ac:dyDescent="0.25">
      <c r="B20" s="168"/>
      <c r="C20" s="168"/>
      <c r="D20" s="168"/>
      <c r="E20" s="160"/>
      <c r="F20" s="160"/>
      <c r="G20" s="160"/>
      <c r="H20" s="160"/>
      <c r="I20" s="160"/>
      <c r="J20" s="160"/>
      <c r="K20" s="160"/>
      <c r="L20" s="160"/>
      <c r="M20" s="1"/>
    </row>
    <row r="21" spans="2:13" ht="25.9" customHeight="1" x14ac:dyDescent="0.25">
      <c r="B21" s="168"/>
      <c r="C21" s="168"/>
      <c r="D21" s="168"/>
      <c r="E21" s="36"/>
      <c r="F21" s="36"/>
      <c r="G21" s="36"/>
      <c r="H21" s="36"/>
      <c r="I21" s="160"/>
      <c r="J21" s="160"/>
      <c r="K21" s="160"/>
      <c r="L21" s="36"/>
      <c r="M21" s="1"/>
    </row>
    <row r="22" spans="2:13" ht="4.1500000000000004" customHeight="1" x14ac:dyDescent="0.25">
      <c r="B22" s="168"/>
      <c r="C22" s="168"/>
      <c r="D22" s="168"/>
      <c r="E22" s="160"/>
      <c r="F22" s="160"/>
      <c r="G22" s="160"/>
      <c r="H22" s="160"/>
      <c r="I22" s="160"/>
      <c r="J22" s="160"/>
      <c r="K22" s="160"/>
      <c r="L22" s="160"/>
      <c r="M22" s="1"/>
    </row>
    <row r="23" spans="2:13" ht="25.9" customHeight="1" x14ac:dyDescent="0.25">
      <c r="B23" s="168"/>
      <c r="C23" s="168"/>
      <c r="D23" s="168"/>
      <c r="E23" s="36"/>
      <c r="F23" s="164"/>
      <c r="G23" s="164"/>
      <c r="H23" s="164"/>
      <c r="I23" s="160"/>
      <c r="J23" s="160"/>
      <c r="K23" s="160"/>
      <c r="L23" s="36"/>
      <c r="M23" s="1"/>
    </row>
    <row r="24" spans="2:13" ht="4.1500000000000004" customHeight="1" x14ac:dyDescent="0.25">
      <c r="B24" s="168"/>
      <c r="C24" s="168"/>
      <c r="D24" s="168"/>
      <c r="E24" s="160"/>
      <c r="F24" s="160"/>
      <c r="G24" s="160"/>
      <c r="H24" s="160"/>
      <c r="I24" s="160"/>
      <c r="J24" s="160"/>
      <c r="K24" s="160"/>
      <c r="L24" s="160"/>
      <c r="M24" s="1"/>
    </row>
    <row r="25" spans="2:13" ht="25.9" customHeight="1" x14ac:dyDescent="0.25">
      <c r="B25" s="168"/>
      <c r="C25" s="168"/>
      <c r="D25" s="168"/>
      <c r="E25" s="36"/>
      <c r="F25" s="210"/>
      <c r="G25" s="210"/>
      <c r="H25" s="210"/>
      <c r="I25" s="210"/>
      <c r="J25" s="210"/>
      <c r="K25" s="210"/>
      <c r="L25" s="210"/>
      <c r="M25" s="1"/>
    </row>
    <row r="26" spans="2:13" ht="10.9" customHeight="1" x14ac:dyDescent="0.25">
      <c r="B26" s="33"/>
      <c r="C26" s="33"/>
      <c r="D26" s="33"/>
      <c r="E26" s="160"/>
      <c r="F26" s="160"/>
      <c r="G26" s="160"/>
      <c r="H26" s="160"/>
      <c r="I26" s="160"/>
      <c r="J26" s="160"/>
      <c r="K26" s="160"/>
      <c r="L26" s="160"/>
      <c r="M26" s="1"/>
    </row>
    <row r="27" spans="2:13" x14ac:dyDescent="0.25">
      <c r="B27" s="168"/>
      <c r="C27" s="168"/>
      <c r="D27" s="168"/>
      <c r="E27" s="56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68"/>
      <c r="C28" s="168"/>
      <c r="D28" s="168"/>
      <c r="E28" s="164"/>
      <c r="F28" s="164"/>
      <c r="G28" s="164"/>
      <c r="H28" s="164"/>
      <c r="I28" s="164"/>
      <c r="J28" s="164"/>
      <c r="K28" s="164"/>
      <c r="L28" s="164"/>
      <c r="M28" s="1"/>
    </row>
    <row r="29" spans="2:13" x14ac:dyDescent="0.25">
      <c r="B29" s="168"/>
      <c r="C29" s="168"/>
      <c r="D29" s="168"/>
      <c r="E29" s="164"/>
      <c r="F29" s="164"/>
      <c r="G29" s="164"/>
      <c r="H29" s="164"/>
      <c r="I29" s="164"/>
      <c r="J29" s="164"/>
      <c r="K29" s="164"/>
      <c r="L29" s="164"/>
      <c r="M29" s="1"/>
    </row>
    <row r="30" spans="2:13" x14ac:dyDescent="0.25">
      <c r="B30" s="168"/>
      <c r="C30" s="168"/>
      <c r="D30" s="168"/>
      <c r="E30" s="164"/>
      <c r="F30" s="164"/>
      <c r="G30" s="164"/>
      <c r="H30" s="164"/>
      <c r="I30" s="164"/>
      <c r="J30" s="164"/>
      <c r="K30" s="164"/>
      <c r="L30" s="164"/>
      <c r="M30" s="1"/>
    </row>
    <row r="31" spans="2:13" x14ac:dyDescent="0.25">
      <c r="B31" s="168"/>
      <c r="C31" s="168"/>
      <c r="D31" s="168"/>
      <c r="E31" s="164"/>
      <c r="F31" s="164"/>
      <c r="G31" s="164"/>
      <c r="H31" s="164"/>
      <c r="I31" s="164"/>
      <c r="J31" s="164"/>
      <c r="K31" s="164"/>
      <c r="L31" s="164"/>
      <c r="M31" s="1"/>
    </row>
    <row r="32" spans="2:13" x14ac:dyDescent="0.25">
      <c r="B32" s="168"/>
      <c r="C32" s="168"/>
      <c r="D32" s="168"/>
      <c r="E32" s="56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68"/>
      <c r="C33" s="168"/>
      <c r="D33" s="168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68"/>
      <c r="C34" s="168"/>
      <c r="D34" s="168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68"/>
      <c r="C35" s="168"/>
      <c r="D35" s="168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68"/>
      <c r="C36" s="168"/>
      <c r="D36" s="168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211"/>
      <c r="C38" s="211"/>
      <c r="D38" s="212"/>
      <c r="E38" s="212"/>
      <c r="F38" s="212"/>
      <c r="G38" s="212"/>
      <c r="H38" s="212"/>
      <c r="I38" s="212"/>
      <c r="J38" s="212"/>
      <c r="K38" s="212"/>
      <c r="L38" s="212"/>
      <c r="M38" s="1"/>
    </row>
    <row r="39" spans="2:13" x14ac:dyDescent="0.25">
      <c r="B39" s="211"/>
      <c r="C39" s="211"/>
      <c r="D39" s="212"/>
      <c r="E39" s="212"/>
      <c r="F39" s="212"/>
      <c r="G39" s="212"/>
      <c r="H39" s="212"/>
      <c r="I39" s="212"/>
      <c r="J39" s="212"/>
      <c r="K39" s="212"/>
      <c r="L39" s="212"/>
      <c r="M39" s="1"/>
    </row>
    <row r="40" spans="2:13" ht="25.9" customHeight="1" x14ac:dyDescent="0.2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2:13" ht="25.15" customHeight="1" x14ac:dyDescent="0.25">
      <c r="B41" s="67"/>
      <c r="C41" s="59"/>
      <c r="D41" s="67"/>
      <c r="E41" s="67"/>
      <c r="F41" s="67"/>
      <c r="G41" s="67"/>
      <c r="H41" s="213"/>
      <c r="I41" s="213"/>
      <c r="J41" s="213"/>
      <c r="K41" s="213"/>
      <c r="L41" s="213"/>
    </row>
    <row r="42" spans="2:13" ht="25.15" customHeight="1" x14ac:dyDescent="0.25">
      <c r="B42" s="67"/>
      <c r="C42" s="59"/>
      <c r="D42" s="67"/>
      <c r="E42" s="67"/>
      <c r="F42" s="67"/>
      <c r="G42" s="67"/>
      <c r="H42" s="213"/>
      <c r="I42" s="213"/>
      <c r="J42" s="213"/>
      <c r="K42" s="213"/>
      <c r="L42" s="213"/>
    </row>
    <row r="43" spans="2:13" ht="25.15" customHeight="1" x14ac:dyDescent="0.25">
      <c r="B43" s="60"/>
      <c r="C43" s="214"/>
      <c r="D43" s="214"/>
      <c r="E43" s="61"/>
      <c r="F43" s="68"/>
      <c r="G43" s="68"/>
      <c r="H43" s="215"/>
      <c r="I43" s="215"/>
      <c r="J43" s="216"/>
      <c r="K43" s="214"/>
      <c r="L43" s="214"/>
    </row>
    <row r="44" spans="2:13" ht="25.15" customHeight="1" x14ac:dyDescent="0.25">
      <c r="B44" s="60"/>
      <c r="C44" s="214"/>
      <c r="D44" s="214"/>
      <c r="E44" s="62"/>
      <c r="F44" s="68"/>
      <c r="G44" s="68"/>
      <c r="H44" s="215"/>
      <c r="I44" s="215"/>
      <c r="J44" s="216"/>
      <c r="K44" s="214"/>
      <c r="L44" s="214"/>
    </row>
    <row r="45" spans="2:13" ht="25.15" customHeight="1" x14ac:dyDescent="0.25">
      <c r="B45" s="60"/>
      <c r="C45" s="214"/>
      <c r="D45" s="214"/>
      <c r="E45" s="62"/>
      <c r="F45" s="68"/>
      <c r="G45" s="68"/>
      <c r="H45" s="215"/>
      <c r="I45" s="215"/>
      <c r="J45" s="216"/>
      <c r="K45" s="214"/>
      <c r="L45" s="214"/>
    </row>
    <row r="46" spans="2:13" ht="25.15" customHeight="1" x14ac:dyDescent="0.25">
      <c r="B46" s="60"/>
      <c r="C46" s="214"/>
      <c r="D46" s="214"/>
      <c r="E46" s="63"/>
      <c r="F46" s="68"/>
      <c r="G46" s="68"/>
      <c r="H46" s="216"/>
      <c r="I46" s="214"/>
      <c r="J46" s="216"/>
      <c r="K46" s="214"/>
      <c r="L46" s="214"/>
    </row>
    <row r="47" spans="2:13" ht="25.15" customHeight="1" x14ac:dyDescent="0.25">
      <c r="B47" s="60"/>
      <c r="C47" s="214"/>
      <c r="D47" s="214"/>
      <c r="E47" s="62"/>
      <c r="F47" s="68"/>
      <c r="G47" s="68"/>
      <c r="H47" s="216"/>
      <c r="I47" s="214"/>
      <c r="J47" s="216"/>
      <c r="K47" s="214"/>
      <c r="L47" s="214"/>
    </row>
    <row r="48" spans="2:13" ht="25.15" customHeight="1" x14ac:dyDescent="0.25">
      <c r="B48" s="217"/>
      <c r="C48" s="217"/>
      <c r="D48" s="217"/>
      <c r="E48" s="217"/>
      <c r="F48" s="217"/>
      <c r="G48" s="217"/>
      <c r="H48" s="217"/>
      <c r="I48" s="217"/>
      <c r="J48" s="218"/>
      <c r="K48" s="218"/>
      <c r="L48" s="218"/>
    </row>
    <row r="49" spans="2:12" ht="25.15" customHeight="1" x14ac:dyDescent="0.25">
      <c r="B49" s="67"/>
      <c r="C49" s="59"/>
      <c r="D49" s="67"/>
      <c r="E49" s="67"/>
      <c r="F49" s="67"/>
      <c r="G49" s="67"/>
      <c r="H49" s="213"/>
      <c r="I49" s="213"/>
      <c r="J49" s="213"/>
      <c r="K49" s="213"/>
      <c r="L49" s="213"/>
    </row>
    <row r="50" spans="2:12" ht="25.15" customHeight="1" x14ac:dyDescent="0.25">
      <c r="B50" s="67"/>
      <c r="C50" s="59"/>
      <c r="D50" s="67"/>
      <c r="E50" s="67"/>
      <c r="F50" s="67"/>
      <c r="G50" s="67"/>
      <c r="H50" s="213"/>
      <c r="I50" s="213"/>
      <c r="J50" s="213"/>
      <c r="K50" s="213"/>
      <c r="L50" s="213"/>
    </row>
    <row r="51" spans="2:12" ht="25.15" customHeight="1" x14ac:dyDescent="0.25">
      <c r="B51" s="60"/>
      <c r="C51" s="214"/>
      <c r="D51" s="214"/>
      <c r="E51" s="62"/>
      <c r="F51" s="68"/>
      <c r="G51" s="68"/>
      <c r="H51" s="216"/>
      <c r="I51" s="214"/>
      <c r="J51" s="216"/>
      <c r="K51" s="214"/>
      <c r="L51" s="214"/>
    </row>
    <row r="52" spans="2:12" ht="25.15" customHeight="1" x14ac:dyDescent="0.25">
      <c r="B52" s="60"/>
      <c r="C52" s="214"/>
      <c r="D52" s="214"/>
      <c r="E52" s="62"/>
      <c r="F52" s="68"/>
      <c r="G52" s="68"/>
      <c r="H52" s="216"/>
      <c r="I52" s="214"/>
      <c r="J52" s="216"/>
      <c r="K52" s="214"/>
      <c r="L52" s="214"/>
    </row>
    <row r="53" spans="2:12" ht="25.15" customHeight="1" x14ac:dyDescent="0.25">
      <c r="B53" s="60"/>
      <c r="C53" s="214"/>
      <c r="D53" s="214"/>
      <c r="E53" s="62"/>
      <c r="F53" s="68"/>
      <c r="G53" s="68"/>
      <c r="H53" s="216"/>
      <c r="I53" s="214"/>
      <c r="J53" s="216"/>
      <c r="K53" s="214"/>
      <c r="L53" s="214"/>
    </row>
    <row r="54" spans="2:12" ht="25.15" customHeight="1" x14ac:dyDescent="0.25">
      <c r="B54" s="60"/>
      <c r="C54" s="214"/>
      <c r="D54" s="214"/>
      <c r="E54" s="62"/>
      <c r="F54" s="68"/>
      <c r="G54" s="68"/>
      <c r="H54" s="216"/>
      <c r="I54" s="214"/>
      <c r="J54" s="216"/>
      <c r="K54" s="214"/>
      <c r="L54" s="214"/>
    </row>
    <row r="55" spans="2:12" ht="25.15" customHeight="1" x14ac:dyDescent="0.25">
      <c r="B55" s="60"/>
      <c r="C55" s="214"/>
      <c r="D55" s="214"/>
      <c r="E55" s="62"/>
      <c r="F55" s="68"/>
      <c r="G55" s="68"/>
      <c r="H55" s="216"/>
      <c r="I55" s="214"/>
      <c r="J55" s="216"/>
      <c r="K55" s="214"/>
      <c r="L55" s="214"/>
    </row>
    <row r="56" spans="2:12" ht="25.15" customHeight="1" x14ac:dyDescent="0.25">
      <c r="B56" s="217"/>
      <c r="C56" s="217"/>
      <c r="D56" s="217"/>
      <c r="E56" s="217"/>
      <c r="F56" s="217"/>
      <c r="G56" s="217"/>
      <c r="H56" s="217"/>
      <c r="I56" s="217"/>
      <c r="J56" s="218"/>
      <c r="K56" s="218"/>
      <c r="L56" s="218"/>
    </row>
    <row r="57" spans="2:12" ht="25.15" customHeight="1" x14ac:dyDescent="0.25">
      <c r="B57" s="217"/>
      <c r="C57" s="217"/>
      <c r="D57" s="217"/>
      <c r="E57" s="217"/>
      <c r="F57" s="217"/>
      <c r="G57" s="217"/>
      <c r="H57" s="217"/>
      <c r="I57" s="217"/>
      <c r="J57" s="218"/>
      <c r="K57" s="218"/>
      <c r="L57" s="218"/>
    </row>
    <row r="58" spans="2:12" ht="18.600000000000001" customHeight="1" x14ac:dyDescent="0.25">
      <c r="B58" s="58"/>
      <c r="C58" s="58"/>
      <c r="D58" s="58"/>
      <c r="E58" s="58"/>
      <c r="F58" s="58"/>
      <c r="G58" s="58"/>
      <c r="H58" s="221"/>
      <c r="I58" s="221"/>
      <c r="J58" s="216"/>
      <c r="K58" s="214"/>
      <c r="L58" s="214"/>
    </row>
    <row r="59" spans="2:12" ht="21" customHeight="1" x14ac:dyDescent="0.25"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219"/>
      <c r="G61" s="220"/>
      <c r="H61" s="220"/>
      <c r="I61"/>
      <c r="J61"/>
      <c r="K61"/>
      <c r="L61"/>
    </row>
    <row r="62" spans="2:12" x14ac:dyDescent="0.25">
      <c r="F62" s="220"/>
      <c r="G62" s="220"/>
      <c r="H62" s="220"/>
    </row>
    <row r="63" spans="2:12" ht="15" customHeight="1" x14ac:dyDescent="0.25">
      <c r="F63" s="219"/>
      <c r="G63" s="220"/>
      <c r="H63" s="220"/>
    </row>
    <row r="64" spans="2:12" x14ac:dyDescent="0.25">
      <c r="F64" s="220"/>
      <c r="G64" s="220"/>
      <c r="H64" s="22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</row>
    <row r="71" spans="2:12" ht="19.899999999999999" customHeight="1" x14ac:dyDescent="0.25">
      <c r="B71" s="223"/>
      <c r="C71" s="223"/>
      <c r="D71" s="223"/>
      <c r="E71" s="223"/>
      <c r="F71" s="224"/>
      <c r="G71" s="224"/>
      <c r="H71" s="224"/>
      <c r="I71" s="225"/>
      <c r="J71" s="225"/>
      <c r="K71" s="225"/>
      <c r="L71" s="225"/>
    </row>
    <row r="72" spans="2:12" ht="19.899999999999999" customHeight="1" x14ac:dyDescent="0.25">
      <c r="B72" s="223"/>
      <c r="C72" s="223"/>
      <c r="D72" s="223"/>
      <c r="E72" s="223"/>
      <c r="F72" s="224"/>
      <c r="G72" s="224"/>
      <c r="H72" s="224"/>
      <c r="I72" s="225"/>
      <c r="J72" s="225"/>
      <c r="K72" s="225"/>
      <c r="L72" s="225"/>
    </row>
    <row r="73" spans="2:12" ht="19.899999999999999" customHeight="1" x14ac:dyDescent="0.25">
      <c r="B73" s="223"/>
      <c r="C73" s="223"/>
      <c r="D73" s="223"/>
      <c r="E73" s="223"/>
      <c r="F73" s="224"/>
      <c r="G73" s="224"/>
      <c r="H73" s="224"/>
    </row>
    <row r="74" spans="2:12" ht="14.45" customHeight="1" x14ac:dyDescent="0.25">
      <c r="I74" s="228"/>
      <c r="J74" s="228"/>
      <c r="K74" s="228"/>
      <c r="L74" s="228"/>
    </row>
    <row r="75" spans="2:12" ht="14.65" customHeight="1" x14ac:dyDescent="0.25">
      <c r="F75" s="64"/>
      <c r="G75" s="64"/>
      <c r="H75" s="64"/>
      <c r="I75" s="228"/>
      <c r="J75" s="228"/>
      <c r="K75" s="228"/>
      <c r="L75" s="228"/>
    </row>
    <row r="76" spans="2:12" x14ac:dyDescent="0.25">
      <c r="F76" s="64"/>
      <c r="G76" s="64"/>
      <c r="H76" s="64"/>
    </row>
    <row r="81" spans="2:12" ht="21" customHeight="1" x14ac:dyDescent="0.25">
      <c r="B81" s="222"/>
      <c r="C81" s="222"/>
      <c r="D81" s="222"/>
      <c r="E81" s="222"/>
      <c r="F81" s="222"/>
      <c r="G81" s="222"/>
      <c r="H81" s="222"/>
      <c r="I81" s="65"/>
      <c r="J81" s="65"/>
      <c r="K81" s="65"/>
      <c r="L81" s="65"/>
    </row>
    <row r="82" spans="2:12" ht="14.65" customHeight="1" x14ac:dyDescent="0.25">
      <c r="B82" s="66"/>
      <c r="C82" s="66"/>
      <c r="D82" s="66"/>
    </row>
    <row r="83" spans="2:12" ht="14.65" customHeight="1" x14ac:dyDescent="0.25">
      <c r="C83" s="226"/>
      <c r="D83" s="226"/>
      <c r="E83" s="226"/>
      <c r="F83" s="64"/>
      <c r="G83" s="64"/>
      <c r="H83" s="64"/>
    </row>
    <row r="84" spans="2:12" x14ac:dyDescent="0.25">
      <c r="C84" s="226"/>
      <c r="D84" s="226"/>
      <c r="E84" s="226"/>
      <c r="F84" s="64"/>
      <c r="G84" s="64"/>
      <c r="H84" s="64"/>
    </row>
    <row r="86" spans="2:12" ht="14.65" customHeight="1" x14ac:dyDescent="0.25">
      <c r="C86" s="226"/>
      <c r="D86" s="226"/>
      <c r="E86" s="226"/>
      <c r="F86" s="64"/>
      <c r="G86" s="64"/>
      <c r="H86" s="64"/>
    </row>
    <row r="87" spans="2:12" x14ac:dyDescent="0.25">
      <c r="C87" s="226"/>
      <c r="D87" s="226"/>
      <c r="E87" s="226"/>
      <c r="F87" s="64"/>
      <c r="G87" s="64"/>
      <c r="H87" s="64"/>
    </row>
    <row r="91" spans="2:12" ht="21" customHeight="1" x14ac:dyDescent="0.25"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</row>
    <row r="92" spans="2:12" ht="14.65" customHeight="1" x14ac:dyDescent="0.25">
      <c r="B92" s="66"/>
      <c r="C92" s="66"/>
      <c r="D92" s="66"/>
    </row>
    <row r="93" spans="2:12" ht="14.65" customHeight="1" x14ac:dyDescent="0.25">
      <c r="C93" s="226"/>
      <c r="D93" s="226"/>
      <c r="E93" s="226"/>
      <c r="F93" s="64"/>
      <c r="G93" s="64"/>
      <c r="H93" s="64"/>
    </row>
    <row r="94" spans="2:12" x14ac:dyDescent="0.25">
      <c r="C94" s="226"/>
      <c r="D94" s="226"/>
      <c r="E94" s="226"/>
      <c r="F94" s="64"/>
      <c r="G94" s="64"/>
      <c r="H94" s="64"/>
    </row>
    <row r="96" spans="2:12" ht="14.65" customHeight="1" x14ac:dyDescent="0.25">
      <c r="C96" s="226"/>
      <c r="D96" s="226"/>
      <c r="E96" s="226"/>
      <c r="F96" s="64"/>
      <c r="G96" s="64"/>
      <c r="H96" s="64"/>
    </row>
    <row r="97" spans="3:11" x14ac:dyDescent="0.25">
      <c r="C97" s="226"/>
      <c r="D97" s="226"/>
      <c r="E97" s="226"/>
      <c r="F97" s="64"/>
      <c r="G97" s="64"/>
      <c r="H97" s="64"/>
    </row>
    <row r="102" spans="3:11" ht="16.149999999999999" customHeight="1" x14ac:dyDescent="0.25">
      <c r="C102" s="227"/>
      <c r="D102" s="227"/>
      <c r="E102" s="227"/>
      <c r="F102" s="227"/>
      <c r="G102" s="227"/>
      <c r="H102" s="227"/>
      <c r="I102" s="227"/>
      <c r="J102" s="227"/>
      <c r="K102" s="227"/>
    </row>
    <row r="103" spans="3:11" ht="16.149999999999999" customHeight="1" x14ac:dyDescent="0.25">
      <c r="C103" s="227"/>
      <c r="D103" s="227"/>
      <c r="E103" s="227"/>
      <c r="F103" s="227"/>
      <c r="G103" s="227"/>
      <c r="H103" s="227"/>
      <c r="I103" s="227"/>
      <c r="J103" s="227"/>
      <c r="K103" s="227"/>
    </row>
    <row r="104" spans="3:11" ht="16.149999999999999" customHeight="1" x14ac:dyDescent="0.25">
      <c r="C104" s="227"/>
      <c r="D104" s="227"/>
      <c r="E104" s="227"/>
      <c r="F104" s="227"/>
      <c r="G104" s="227"/>
      <c r="H104" s="227"/>
      <c r="I104" s="227"/>
      <c r="J104" s="227"/>
      <c r="K104" s="227"/>
    </row>
    <row r="105" spans="3:11" ht="16.149999999999999" customHeight="1" x14ac:dyDescent="0.25">
      <c r="C105" s="227"/>
      <c r="D105" s="227"/>
      <c r="E105" s="227"/>
      <c r="F105" s="227"/>
      <c r="G105" s="227"/>
      <c r="H105" s="227"/>
      <c r="I105" s="227"/>
      <c r="J105" s="227"/>
      <c r="K105" s="22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36-SÜLSER-SIVA-AZ&amp;mlen41</vt:lpstr>
      <vt:lpstr>tüm duvarlar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2026-06-26T07:27:42Z</cp:lastPrinted>
  <dcterms:created xsi:type="dcterms:W3CDTF">2014-05-26T07:40:11Z</dcterms:created>
  <dcterms:modified xsi:type="dcterms:W3CDTF">2026-09-29T12:28:05Z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