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28B947C-BF1F-4E33-BEAD-92A36D36978C}" xr6:coauthVersionLast="47" xr6:coauthVersionMax="47" xr10:uidLastSave="{00000000-0000-0000-0000-000000000000}"/>
  <bookViews>
    <workbookView xWindow="29265" yWindow="-450" windowWidth="1537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J47" i="1"/>
  <c r="J48" i="1"/>
  <c r="J49" i="1"/>
  <c r="D5" i="4"/>
  <c r="E44" i="1" l="1"/>
  <c r="E43" i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<sst xmlns="http://schemas.openxmlformats.org/spreadsheetml/2006/main" count="112" uniqueCount="92">
  <si>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</si>
  <si>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</si>
  <si>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</si>
  <si>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</si>
  <si>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</si>
  <si>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</si>
  <si>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</si>
  <si>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</si>
  <si>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</si>
  <si>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</si>
  <si>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</si>
  <si>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</si>
  <si>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</si>
  <si>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</si>
  <si>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</si>
  <si>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</si>
  <si>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</si>
  <si>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</si>
  <si>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</si>
  <si>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</si>
  <si>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</si>
  <si>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</si>
  <si>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</si>
  <si>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</si>
  <si>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</si>
  <si>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</si>
  <si>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</si>
  <si>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</si>
  <si>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</si>
  <si>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</si>
  <si>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</si>
  <si>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</si>
  <si>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</si>
  <si>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</si>
  <si>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</si>
  <si>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</si>
  <si>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</si>
  <si>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</si>
  <si>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</si>
  <si>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</si>
  <si>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</si>
  <si>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</si>
  <si>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</si>
  <si>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</si>
  <si>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</si>
  <si>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</si>
  <si>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</si>
  <si>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</si>
  <si>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</si>
  <si>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</si>
  <si>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</si>
  <si>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</si>
  <si>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</si>
  <si>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</si>
  <si>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</si>
  <si>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</si>
  <si>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</si>
  <si>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</si>
  <si>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</si>
  <si>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</si>
  <si>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</si>
  <si>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</si>
  <si>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</si>
  <si>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</si>
  <si>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</si>
  <si>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</si>
  <si>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</si>
  <si>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</si>
  <si>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</si>
  <si>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</si>
  <si>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</si>
  <si>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</si>
  <si>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</si>
  <si>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</si>
  <si>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</si>
  <si>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</si>
  <si>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</si>
  <si>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</si>
  <si>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</si>
  <si>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</si>
  <si>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</si>
  <si>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</si>
  <si>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</si>
  <si>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</si>
  <si>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</si>
  <si>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270</t>
  </si>
  <si>
    <t>C3 ve C5 Blok 15.20 kotunda, ıslak hacimlerde bulunan kutu profil güçlendirmeleri mekanik firması tarafından sökülmüştür. Sökülen kutu profil güçlendirmeleri tamamlanmıştır.</t>
  </si>
  <si>
    <t xml:space="preserve">C3-C5 / 15.20 </t>
  </si>
  <si>
    <t>NUSRET TANŞU (USTA)</t>
  </si>
  <si>
    <t>HASAN BİLGİN (USTA)</t>
  </si>
  <si>
    <t>SABRİ DEMİR (USTA YARDIMCISI)</t>
  </si>
  <si>
    <t>HALİL İBRAHİM SANA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</si>
</sst>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166688</xdr:colOff>
      <xdr:row>14</xdr:row>
      <xdr:rowOff>119063</xdr:rowOff>
    </xdr:from>
    <xdr:to>
      <xdr:col>6</xdr:col>
      <xdr:colOff>376312</xdr:colOff>
      <xdr:row>50</xdr:row>
      <xdr:rowOff>9624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E130B9C8-FA0C-4ECA-B5BB-4A6E7F10C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813" y="3262313"/>
          <a:ext cx="6543749" cy="8724999"/>
        </a:xfrm>
        <a:prstGeom prst="rect">
          <a:avLst/>
        </a:prstGeom>
      </xdr:spPr>
    </xdr:pic>
    <xdr:clientData/>
  </xdr:twoCellAnchor>
  <xdr:twoCellAnchor editAs="oneCell">
    <xdr:from>
      <xdr:col>6</xdr:col>
      <xdr:colOff>942938</xdr:colOff>
      <xdr:row>52</xdr:row>
      <xdr:rowOff>14250</xdr:rowOff>
    </xdr:from>
    <xdr:to>
      <xdr:col>11</xdr:col>
      <xdr:colOff>128624</xdr:colOff>
      <xdr:row>92</xdr:row>
      <xdr:rowOff>142937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79339D65-CDD7-454A-8755-D4576EADD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188" y="12611063"/>
          <a:ext cx="6543749" cy="8724999"/>
        </a:xfrm>
        <a:prstGeom prst="rect">
          <a:avLst/>
        </a:prstGeom>
      </xdr:spPr>
    </xdr:pic>
    <xdr:clientData/>
  </xdr:twoCellAnchor>
  <xdr:twoCellAnchor editAs="oneCell">
    <xdr:from>
      <xdr:col>1</xdr:col>
      <xdr:colOff>235688</xdr:colOff>
      <xdr:row>52</xdr:row>
      <xdr:rowOff>21374</xdr:rowOff>
    </xdr:from>
    <xdr:to>
      <xdr:col>6</xdr:col>
      <xdr:colOff>445312</xdr:colOff>
      <xdr:row>92</xdr:row>
      <xdr:rowOff>150061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27F95050-A232-45E8-83AC-404AD5F24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813" y="12618187"/>
          <a:ext cx="6543749" cy="8724999"/>
        </a:xfrm>
        <a:prstGeom prst="rect">
          <a:avLst/>
        </a:prstGeom>
      </xdr:spPr>
    </xdr:pic>
    <xdr:clientData/>
  </xdr:twoCellAnchor>
  <xdr:twoCellAnchor editAs="oneCell">
    <xdr:from>
      <xdr:col>6</xdr:col>
      <xdr:colOff>909563</xdr:colOff>
      <xdr:row>14</xdr:row>
      <xdr:rowOff>171376</xdr:rowOff>
    </xdr:from>
    <xdr:to>
      <xdr:col>11</xdr:col>
      <xdr:colOff>95249</xdr:colOff>
      <xdr:row>50</xdr:row>
      <xdr:rowOff>61937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DC975B74-8D1C-4543-A580-08B7A7CC1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2813" y="3314626"/>
          <a:ext cx="6543749" cy="8724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46288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85</v>
      </c>
      <c r="E7" s="109"/>
      <c r="F7" s="110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">
        <v>87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26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38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23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86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88</v>
      </c>
      <c r="D43" s="106"/>
      <c r="E43" s="60">
        <f t="shared" ref="E43:E46" si="0">+$D$5</f>
        <v>46288</v>
      </c>
      <c r="F43" s="61" t="s">
        <v>82</v>
      </c>
      <c r="G43" s="6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89</v>
      </c>
      <c r="D44" s="106"/>
      <c r="E44" s="60">
        <f t="shared" si="0"/>
        <v>46288</v>
      </c>
      <c r="F44" s="62" t="s">
        <v>82</v>
      </c>
      <c r="G44" s="62">
        <v>1</v>
      </c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 t="s">
        <v>90</v>
      </c>
      <c r="D45" s="106"/>
      <c r="E45" s="60">
        <f t="shared" si="0"/>
        <v>46288</v>
      </c>
      <c r="F45" s="83" t="s">
        <v>82</v>
      </c>
      <c r="G45" s="83">
        <v>1</v>
      </c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 t="s">
        <v>91</v>
      </c>
      <c r="D46" s="106"/>
      <c r="E46" s="60">
        <f t="shared" si="0"/>
        <v>46288</v>
      </c>
      <c r="F46" s="83" t="s">
        <v>82</v>
      </c>
      <c r="G46" s="83">
        <v>1</v>
      </c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2"/>
      <c r="G47" s="82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2"/>
      <c r="G48" s="82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2"/>
      <c r="G49" s="82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2"/>
      <c r="G50" s="82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2"/>
      <c r="G51" s="82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2"/>
      <c r="G52" s="82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74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/>
      <c r="D56" s="90"/>
      <c r="E56" s="60"/>
      <c r="F56" s="82"/>
      <c r="G56" s="82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2"/>
      <c r="G57" s="82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74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29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27</v>
      </c>
      <c r="C75" s="87"/>
      <c r="D75" s="87"/>
      <c r="E75" s="158"/>
      <c r="F75" s="87" t="s">
        <v>68</v>
      </c>
      <c r="G75" s="87"/>
      <c r="H75" s="158"/>
      <c r="I75" s="86" t="s">
        <v>31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75</v>
      </c>
      <c r="G76" s="166"/>
      <c r="H76" s="167"/>
      <c r="I76" s="171" t="s">
        <v>25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24</v>
      </c>
      <c r="C86" s="87"/>
      <c r="D86" s="87"/>
      <c r="E86" s="158"/>
      <c r="F86" s="87" t="s">
        <v>64</v>
      </c>
      <c r="G86" s="87"/>
      <c r="H86" s="158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62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57</v>
      </c>
      <c r="C96" s="87"/>
      <c r="D96" s="87"/>
      <c r="E96" s="158"/>
      <c r="F96" s="87" t="s">
        <v>32</v>
      </c>
      <c r="G96" s="87"/>
      <c r="H96" s="158"/>
      <c r="I96" s="86" t="s">
        <v>28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73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O56" sqref="O5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46288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270</v>
      </c>
      <c r="E7" s="112"/>
      <c r="F7" s="113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tr">
        <f>'İLAVE İS TUT.'!I9</f>
        <v xml:space="preserve">C3-C5 / 15.20 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187"/>
      <c r="C15" s="187"/>
      <c r="D15" s="187"/>
      <c r="E15" s="77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7"/>
      <c r="F19" s="77"/>
      <c r="G19" s="77"/>
      <c r="H19" s="77"/>
      <c r="I19" s="184"/>
      <c r="J19" s="184"/>
      <c r="K19" s="184"/>
      <c r="L19" s="77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7"/>
      <c r="F21" s="77"/>
      <c r="G21" s="77"/>
      <c r="H21" s="77"/>
      <c r="I21" s="184"/>
      <c r="J21" s="184"/>
      <c r="K21" s="184"/>
      <c r="L21" s="77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7"/>
      <c r="F23" s="186"/>
      <c r="G23" s="186"/>
      <c r="H23" s="186"/>
      <c r="I23" s="184"/>
      <c r="J23" s="184"/>
      <c r="K23" s="184"/>
      <c r="L23" s="77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7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9"/>
      <c r="C26" s="79"/>
      <c r="D26" s="79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187"/>
      <c r="C33" s="187"/>
      <c r="D33" s="187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187"/>
      <c r="C34" s="187"/>
      <c r="D34" s="187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187"/>
      <c r="C35" s="187"/>
      <c r="D35" s="187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187"/>
      <c r="C36" s="187"/>
      <c r="D36" s="187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1"/>
      <c r="I41" s="191"/>
      <c r="J41" s="191"/>
      <c r="K41" s="191"/>
      <c r="L41" s="191"/>
    </row>
    <row r="42" spans="2:13" ht="25.15" customHeight="1" x14ac:dyDescent="0.25">
      <c r="B42" s="65"/>
      <c r="C42" s="66"/>
      <c r="D42" s="65"/>
      <c r="E42" s="65"/>
      <c r="F42" s="65"/>
      <c r="G42" s="65"/>
      <c r="H42" s="191"/>
      <c r="I42" s="191"/>
      <c r="J42" s="191"/>
      <c r="K42" s="191"/>
      <c r="L42" s="191"/>
    </row>
    <row r="43" spans="2:13" ht="25.15" customHeight="1" x14ac:dyDescent="0.25">
      <c r="B43" s="67"/>
      <c r="C43" s="192"/>
      <c r="D43" s="192"/>
      <c r="E43" s="68"/>
      <c r="F43" s="69"/>
      <c r="G43" s="69"/>
      <c r="H43" s="193"/>
      <c r="I43" s="193"/>
      <c r="J43" s="194"/>
      <c r="K43" s="192"/>
      <c r="L43" s="192"/>
    </row>
    <row r="44" spans="2:13" ht="25.15" customHeight="1" x14ac:dyDescent="0.25">
      <c r="B44" s="67"/>
      <c r="C44" s="192"/>
      <c r="D44" s="192"/>
      <c r="E44" s="70"/>
      <c r="F44" s="69"/>
      <c r="G44" s="69"/>
      <c r="H44" s="193"/>
      <c r="I44" s="193"/>
      <c r="J44" s="194"/>
      <c r="K44" s="192"/>
      <c r="L44" s="192"/>
    </row>
    <row r="45" spans="2:13" ht="25.15" customHeight="1" x14ac:dyDescent="0.25">
      <c r="B45" s="67"/>
      <c r="C45" s="192"/>
      <c r="D45" s="192"/>
      <c r="E45" s="70"/>
      <c r="F45" s="69"/>
      <c r="G45" s="69"/>
      <c r="H45" s="193"/>
      <c r="I45" s="193"/>
      <c r="J45" s="194"/>
      <c r="K45" s="192"/>
      <c r="L45" s="192"/>
    </row>
    <row r="46" spans="2:13" ht="25.15" customHeight="1" x14ac:dyDescent="0.25">
      <c r="B46" s="67"/>
      <c r="C46" s="192"/>
      <c r="D46" s="192"/>
      <c r="E46" s="71"/>
      <c r="F46" s="69"/>
      <c r="G46" s="69"/>
      <c r="H46" s="194"/>
      <c r="I46" s="192"/>
      <c r="J46" s="194"/>
      <c r="K46" s="192"/>
      <c r="L46" s="192"/>
    </row>
    <row r="47" spans="2:13" ht="25.15" customHeight="1" x14ac:dyDescent="0.25">
      <c r="B47" s="67"/>
      <c r="C47" s="192"/>
      <c r="D47" s="192"/>
      <c r="E47" s="70"/>
      <c r="F47" s="69"/>
      <c r="G47" s="69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5"/>
      <c r="C49" s="66"/>
      <c r="D49" s="65"/>
      <c r="E49" s="65"/>
      <c r="F49" s="65"/>
      <c r="G49" s="65"/>
      <c r="H49" s="191"/>
      <c r="I49" s="191"/>
      <c r="J49" s="191"/>
      <c r="K49" s="191"/>
      <c r="L49" s="191"/>
    </row>
    <row r="50" spans="2:12" ht="25.15" customHeight="1" x14ac:dyDescent="0.25">
      <c r="B50" s="65"/>
      <c r="C50" s="66"/>
      <c r="D50" s="65"/>
      <c r="E50" s="65"/>
      <c r="F50" s="65"/>
      <c r="G50" s="65"/>
      <c r="H50" s="191"/>
      <c r="I50" s="191"/>
      <c r="J50" s="191"/>
      <c r="K50" s="191"/>
      <c r="L50" s="191"/>
    </row>
    <row r="51" spans="2:12" ht="25.15" customHeight="1" x14ac:dyDescent="0.25">
      <c r="B51" s="67"/>
      <c r="C51" s="192"/>
      <c r="D51" s="192"/>
      <c r="E51" s="70"/>
      <c r="F51" s="69"/>
      <c r="G51" s="69"/>
      <c r="H51" s="194"/>
      <c r="I51" s="192"/>
      <c r="J51" s="194"/>
      <c r="K51" s="192"/>
      <c r="L51" s="192"/>
    </row>
    <row r="52" spans="2:12" ht="25.15" customHeight="1" x14ac:dyDescent="0.25">
      <c r="B52" s="67"/>
      <c r="C52" s="192"/>
      <c r="D52" s="192"/>
      <c r="E52" s="70"/>
      <c r="F52" s="69"/>
      <c r="G52" s="69"/>
      <c r="H52" s="194"/>
      <c r="I52" s="192"/>
      <c r="J52" s="194"/>
      <c r="K52" s="192"/>
      <c r="L52" s="192"/>
    </row>
    <row r="53" spans="2:12" ht="25.15" customHeight="1" x14ac:dyDescent="0.25">
      <c r="B53" s="67"/>
      <c r="C53" s="192"/>
      <c r="D53" s="192"/>
      <c r="E53" s="70"/>
      <c r="F53" s="69"/>
      <c r="G53" s="69"/>
      <c r="H53" s="194"/>
      <c r="I53" s="192"/>
      <c r="J53" s="194"/>
      <c r="K53" s="192"/>
      <c r="L53" s="192"/>
    </row>
    <row r="54" spans="2:12" ht="25.15" customHeight="1" x14ac:dyDescent="0.25">
      <c r="B54" s="67"/>
      <c r="C54" s="192"/>
      <c r="D54" s="192"/>
      <c r="E54" s="70"/>
      <c r="F54" s="69"/>
      <c r="G54" s="69"/>
      <c r="H54" s="194"/>
      <c r="I54" s="192"/>
      <c r="J54" s="194"/>
      <c r="K54" s="192"/>
      <c r="L54" s="192"/>
    </row>
    <row r="55" spans="2:12" ht="25.15" customHeight="1" x14ac:dyDescent="0.25">
      <c r="B55" s="67"/>
      <c r="C55" s="192"/>
      <c r="D55" s="192"/>
      <c r="E55" s="70"/>
      <c r="F55" s="69"/>
      <c r="G55" s="69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97"/>
      <c r="G61" s="198"/>
      <c r="H61" s="198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98"/>
      <c r="G62" s="198"/>
      <c r="H62" s="198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97"/>
      <c r="G63" s="198"/>
      <c r="H63" s="198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98"/>
      <c r="G64" s="198"/>
      <c r="H64" s="198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206"/>
      <c r="J74" s="206"/>
      <c r="K74" s="206"/>
      <c r="L74" s="206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206"/>
      <c r="J75" s="206"/>
      <c r="K75" s="206"/>
      <c r="L75" s="206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204"/>
      <c r="D83" s="204"/>
      <c r="E83" s="204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204"/>
      <c r="D84" s="204"/>
      <c r="E84" s="204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204"/>
      <c r="D86" s="204"/>
      <c r="E86" s="204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204"/>
      <c r="D87" s="204"/>
      <c r="E87" s="204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204"/>
      <c r="D93" s="204"/>
      <c r="E93" s="204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204"/>
      <c r="D94" s="204"/>
      <c r="E94" s="204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204"/>
      <c r="D96" s="204"/>
      <c r="E96" s="204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204"/>
      <c r="D97" s="204"/>
      <c r="E97" s="204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205"/>
      <c r="D102" s="205"/>
      <c r="E102" s="205"/>
      <c r="F102" s="205"/>
      <c r="G102" s="205"/>
      <c r="H102" s="205"/>
      <c r="I102" s="205"/>
      <c r="J102" s="205"/>
      <c r="K102" s="205"/>
      <c r="L102" s="72"/>
    </row>
    <row r="103" spans="2:12" ht="16.149999999999999" customHeight="1" x14ac:dyDescent="0.25">
      <c r="B103" s="72"/>
      <c r="C103" s="205"/>
      <c r="D103" s="205"/>
      <c r="E103" s="205"/>
      <c r="F103" s="205"/>
      <c r="G103" s="205"/>
      <c r="H103" s="205"/>
      <c r="I103" s="205"/>
      <c r="J103" s="205"/>
      <c r="K103" s="205"/>
      <c r="L103" s="72"/>
    </row>
    <row r="104" spans="2:12" ht="16.149999999999999" customHeight="1" x14ac:dyDescent="0.25">
      <c r="B104" s="72"/>
      <c r="C104" s="205"/>
      <c r="D104" s="205"/>
      <c r="E104" s="205"/>
      <c r="F104" s="205"/>
      <c r="G104" s="205"/>
      <c r="H104" s="205"/>
      <c r="I104" s="205"/>
      <c r="J104" s="205"/>
      <c r="K104" s="205"/>
      <c r="L104" s="72"/>
    </row>
    <row r="105" spans="2:12" ht="16.149999999999999" customHeight="1" x14ac:dyDescent="0.25">
      <c r="B105" s="72"/>
      <c r="C105" s="205"/>
      <c r="D105" s="205"/>
      <c r="E105" s="205"/>
      <c r="F105" s="205"/>
      <c r="G105" s="205"/>
      <c r="H105" s="205"/>
      <c r="I105" s="205"/>
      <c r="J105" s="205"/>
      <c r="K105" s="205"/>
      <c r="L105" s="72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2026-10-06T13:34:06Z</cp:lastPrinted>
  <dcterms:created xsi:type="dcterms:W3CDTF">2014-05-26T07:40:11Z</dcterms:created>
  <dcterms:modified xsi:type="dcterms:W3CDTF">2026-10-06T13:54:02Z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