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543EF0F-C5AB-4169-997A-F418B3D3EA88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<sst xmlns="http://schemas.openxmlformats.org/spreadsheetml/2006/main" count="108" uniqueCount="91">
  <si>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</si>
  <si>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</si>
  <si>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</si>
  <si>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</si>
  <si>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</si>
  <si>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</si>
  <si>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</si>
  <si>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</si>
  <si>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</si>
  <si>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</si>
  <si>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</si>
  <si>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</si>
  <si>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</si>
  <si>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</si>
  <si>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</si>
  <si>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</si>
  <si>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</si>
  <si>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</si>
  <si>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</si>
  <si>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</si>
  <si>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</si>
  <si>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</si>
  <si>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</si>
  <si>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</si>
  <si>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</si>
  <si>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</si>
  <si>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</si>
  <si>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</si>
  <si>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</si>
  <si>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</si>
  <si>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</si>
  <si>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</si>
  <si>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</si>
  <si>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</si>
  <si>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</si>
  <si>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</si>
  <si>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</si>
  <si>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</si>
  <si>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</si>
  <si>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</si>
  <si>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</si>
  <si>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</si>
  <si>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</si>
  <si>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</si>
  <si>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</si>
  <si>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</si>
  <si>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</si>
  <si>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</si>
  <si>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</si>
  <si>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</si>
  <si>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</si>
  <si>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</si>
  <si>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</si>
  <si>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</si>
  <si>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</si>
  <si>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</si>
  <si>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</si>
  <si>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</si>
  <si>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</si>
  <si>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</si>
  <si>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</si>
  <si>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</si>
  <si>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</si>
  <si>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</si>
  <si>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</si>
  <si>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</si>
  <si>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</si>
  <si>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</si>
  <si>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</si>
  <si>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</si>
  <si>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</si>
  <si>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</si>
  <si>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</si>
  <si>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</si>
  <si>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</si>
  <si>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</si>
  <si>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</si>
  <si>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</si>
  <si>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</si>
  <si>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</si>
  <si>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</si>
  <si>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</si>
  <si>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</si>
  <si>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</si>
  <si>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</si>
  <si>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251</t>
  </si>
  <si>
    <t>C5 / 15.20</t>
  </si>
  <si>
    <t>C5 Blok 15.20 kotunda, mekanik birimi için bırakılan alçıpan duvarın aplikasyonu zarar görmüştür. Profiller sökülüp değiştirilmiştir.</t>
  </si>
  <si>
    <t>VEDAT GÜNEN (USTA)</t>
  </si>
  <si>
    <t>40*20*1.5 kutu profil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</si>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</sst>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1976437</xdr:colOff>
      <xdr:row>17</xdr:row>
      <xdr:rowOff>0</xdr:rowOff>
    </xdr:from>
    <xdr:to>
      <xdr:col>9</xdr:col>
      <xdr:colOff>1262061</xdr:colOff>
      <xdr:row>81</xdr:row>
      <xdr:rowOff>71436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454F605-F381-43C3-ADD5-26A81CFC8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6187" y="3857625"/>
          <a:ext cx="8572499" cy="1523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46265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85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86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87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88</v>
      </c>
      <c r="D43" s="100"/>
      <c r="E43" s="73">
        <f t="shared" ref="E43:E46" si="0">+$D$5</f>
        <v>46265</v>
      </c>
      <c r="F43" s="74" t="s">
        <v>82</v>
      </c>
      <c r="G43" s="74">
        <v>1</v>
      </c>
      <c r="H43" s="96"/>
      <c r="I43" s="96"/>
      <c r="J43" s="94">
        <f>+H43*G43</f>
        <v>0</v>
      </c>
      <c r="K43" s="94"/>
      <c r="L43" s="95"/>
    </row>
    <row r="44" spans="2:13" ht="25.15" customHeight="1" x14ac:dyDescent="0.25">
      <c r="B44" s="2">
        <v>2</v>
      </c>
      <c r="C44" s="99"/>
      <c r="D44" s="100"/>
      <c r="E44" s="73"/>
      <c r="F44" s="74"/>
      <c r="G44" s="74"/>
      <c r="H44" s="96"/>
      <c r="I44" s="96"/>
      <c r="J44" s="94">
        <f t="shared" ref="J44:J60" si="1">+H44*G44</f>
        <v>0</v>
      </c>
      <c r="K44" s="94"/>
      <c r="L44" s="95"/>
    </row>
    <row r="45" spans="2:13" ht="25.15" customHeight="1" x14ac:dyDescent="0.25">
      <c r="B45" s="2">
        <v>3</v>
      </c>
      <c r="C45" s="99"/>
      <c r="D45" s="100"/>
      <c r="E45" s="73"/>
      <c r="F45" s="77"/>
      <c r="G45" s="77"/>
      <c r="H45" s="96"/>
      <c r="I45" s="96"/>
      <c r="J45" s="94">
        <f t="shared" si="1"/>
        <v>0</v>
      </c>
      <c r="K45" s="94"/>
      <c r="L45" s="95"/>
    </row>
    <row r="46" spans="2:13" ht="25.15" customHeight="1" x14ac:dyDescent="0.25">
      <c r="B46" s="2">
        <v>4</v>
      </c>
      <c r="C46" s="99"/>
      <c r="D46" s="100"/>
      <c r="E46" s="73"/>
      <c r="F46" s="77"/>
      <c r="G46" s="77"/>
      <c r="H46" s="96"/>
      <c r="I46" s="96"/>
      <c r="J46" s="94">
        <f t="shared" ref="J46:J52" si="2">+H46*G46</f>
        <v>0</v>
      </c>
      <c r="K46" s="94"/>
      <c r="L46" s="95"/>
    </row>
    <row r="47" spans="2:13" ht="25.15" customHeight="1" x14ac:dyDescent="0.25">
      <c r="B47" s="2">
        <v>5</v>
      </c>
      <c r="C47" s="99"/>
      <c r="D47" s="100"/>
      <c r="E47" s="73"/>
      <c r="F47" s="76"/>
      <c r="G47" s="76"/>
      <c r="H47" s="96"/>
      <c r="I47" s="96"/>
      <c r="J47" s="94">
        <f t="shared" si="2"/>
        <v>0</v>
      </c>
      <c r="K47" s="94"/>
      <c r="L47" s="95"/>
    </row>
    <row r="48" spans="2:13" ht="25.15" customHeight="1" x14ac:dyDescent="0.25">
      <c r="B48" s="2">
        <v>6</v>
      </c>
      <c r="C48" s="99"/>
      <c r="D48" s="100"/>
      <c r="E48" s="73"/>
      <c r="F48" s="76"/>
      <c r="G48" s="76"/>
      <c r="H48" s="96"/>
      <c r="I48" s="96"/>
      <c r="J48" s="94">
        <f t="shared" ref="J48:J50" si="3">+H48*G48</f>
        <v>0</v>
      </c>
      <c r="K48" s="94"/>
      <c r="L48" s="95"/>
    </row>
    <row r="49" spans="2:12" ht="25.15" customHeight="1" x14ac:dyDescent="0.25">
      <c r="B49" s="2">
        <v>7</v>
      </c>
      <c r="C49" s="101"/>
      <c r="D49" s="102"/>
      <c r="E49" s="73"/>
      <c r="F49" s="75"/>
      <c r="G49" s="75"/>
      <c r="H49" s="96"/>
      <c r="I49" s="96"/>
      <c r="J49" s="94">
        <f t="shared" si="3"/>
        <v>0</v>
      </c>
      <c r="K49" s="94"/>
      <c r="L49" s="95"/>
    </row>
    <row r="50" spans="2:12" ht="25.15" customHeight="1" x14ac:dyDescent="0.25">
      <c r="B50" s="2">
        <v>8</v>
      </c>
      <c r="C50" s="101"/>
      <c r="D50" s="102"/>
      <c r="E50" s="73"/>
      <c r="F50" s="75"/>
      <c r="G50" s="75"/>
      <c r="H50" s="96"/>
      <c r="I50" s="96"/>
      <c r="J50" s="94">
        <f t="shared" si="3"/>
        <v>0</v>
      </c>
      <c r="K50" s="94"/>
      <c r="L50" s="95"/>
    </row>
    <row r="51" spans="2:12" ht="25.15" customHeight="1" x14ac:dyDescent="0.25">
      <c r="B51" s="2">
        <v>9</v>
      </c>
      <c r="C51" s="101"/>
      <c r="D51" s="102"/>
      <c r="E51" s="73"/>
      <c r="F51" s="75"/>
      <c r="G51" s="75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101"/>
      <c r="D52" s="102"/>
      <c r="E52" s="73"/>
      <c r="F52" s="75"/>
      <c r="G52" s="75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0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89</v>
      </c>
      <c r="D56" s="84"/>
      <c r="E56" s="73">
        <f>+E48</f>
        <v>0</v>
      </c>
      <c r="F56" s="48" t="s">
        <v>90</v>
      </c>
      <c r="G56" s="48">
        <v>6.6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0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48" sqref="J48:L4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46265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251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C5 / 15.20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2026-09-16T05:42:44Z</cp:lastPrinted>
  <dcterms:created xsi:type="dcterms:W3CDTF">2014-05-26T07:40:11Z</dcterms:created>
  <dcterms:modified xsi:type="dcterms:W3CDTF">2026-09-16T05:42:45Z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