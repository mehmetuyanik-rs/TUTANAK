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1496E98-8D8E-4144-8AD7-1E29C8589F7C}" xr6:coauthVersionLast="47" xr6:coauthVersionMax="47" xr10:uidLastSave="{00000000-0000-0000-0000-000000000000}"/>
  <bookViews>
    <workbookView xWindow="23430" yWindow="22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<sst xmlns="http://schemas.openxmlformats.org/spreadsheetml/2006/main" count="110" uniqueCount="92">
  <si>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</si>
  <si>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</si>
  <si>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</si>
  <si>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</si>
  <si>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</si>
  <si>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</si>
  <si>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</si>
  <si>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</si>
  <si>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</si>
  <si>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</si>
  <si>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</si>
  <si>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</si>
  <si>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</si>
  <si>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</si>
  <si>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</si>
  <si>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</si>
  <si>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</si>
  <si>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</si>
  <si>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</si>
  <si>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</si>
  <si>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</si>
  <si>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</si>
  <si>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</si>
  <si>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</si>
  <si>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</si>
  <si>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</si>
  <si>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</si>
  <si>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</si>
  <si>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</si>
  <si>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</si>
  <si>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</si>
  <si>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</si>
  <si>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</si>
  <si>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</si>
  <si>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</si>
  <si>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</si>
  <si>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</si>
  <si>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</si>
  <si>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</si>
  <si>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</si>
  <si>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</si>
  <si>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</si>
  <si>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</si>
  <si>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</si>
  <si>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</si>
  <si>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</si>
  <si>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</si>
  <si>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</si>
  <si>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</si>
  <si>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</si>
  <si>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</si>
  <si>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</si>
  <si>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</si>
  <si>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</si>
  <si>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</si>
  <si>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</si>
  <si>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</si>
  <si>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</si>
  <si>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</si>
  <si>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</si>
  <si>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</si>
  <si>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</si>
  <si>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</si>
  <si>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</si>
  <si>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</si>
  <si>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</si>
  <si>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</si>
  <si>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</si>
  <si>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</si>
  <si>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</si>
  <si>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</si>
  <si>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</si>
  <si>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</si>
  <si>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</si>
  <si>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</si>
  <si>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</si>
  <si>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</si>
  <si>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</si>
  <si>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</si>
  <si>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</si>
  <si>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</si>
  <si>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</si>
  <si>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</si>
  <si>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</si>
  <si>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</si>
  <si>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192</t>
  </si>
  <si>
    <t>C3 / 20.20</t>
  </si>
  <si>
    <t>C3 Blok 20.20 kotunda, ankara aliminyum firması kata malzeme alırken asma tavan profilleri zarar görmüş, tarafımızca sökülerek gerekli düzeltmeler yapılmıştır.</t>
  </si>
  <si>
    <t>40*40*2 mm KUTU PROFİL</t>
  </si>
  <si>
    <t>mt</t>
  </si>
  <si>
    <t>NUSRET EREN(USTA)</t>
  </si>
  <si>
    <t>ENES ÜSTÜNER(USTA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</si>
</sst>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285750</xdr:colOff>
      <xdr:row>9</xdr:row>
      <xdr:rowOff>214313</xdr:rowOff>
    </xdr:from>
    <xdr:to>
      <xdr:col>9</xdr:col>
      <xdr:colOff>566738</xdr:colOff>
      <xdr:row>52</xdr:row>
      <xdr:rowOff>57150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AD86393-F394-4643-9521-CCD800E42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9563" y="2595563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554812</xdr:colOff>
      <xdr:row>53</xdr:row>
      <xdr:rowOff>292876</xdr:rowOff>
    </xdr:from>
    <xdr:to>
      <xdr:col>9</xdr:col>
      <xdr:colOff>251351</xdr:colOff>
      <xdr:row>102</xdr:row>
      <xdr:rowOff>159526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7B81FDD7-42A9-4FC0-91EE-E5A3A5C2D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625" y="13199251"/>
          <a:ext cx="695935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46214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85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86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87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90</v>
      </c>
      <c r="D43" s="101"/>
      <c r="E43" s="73">
        <f t="shared" ref="E43:E50" si="0">+$D$5</f>
        <v>46214</v>
      </c>
      <c r="F43" s="75" t="s">
        <v>82</v>
      </c>
      <c r="G43" s="75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91</v>
      </c>
      <c r="D44" s="101"/>
      <c r="E44" s="73">
        <f t="shared" si="0"/>
        <v>46214</v>
      </c>
      <c r="F44" s="78" t="s">
        <v>82</v>
      </c>
      <c r="G44" s="78">
        <v>1</v>
      </c>
      <c r="H44" s="97">
        <v>2851.48</v>
      </c>
      <c r="I44" s="97"/>
      <c r="J44" s="95">
        <f t="shared" ref="J44:J60" si="1">+H44*G44</f>
        <v>2851.48</v>
      </c>
      <c r="K44" s="95"/>
      <c r="L44" s="96"/>
    </row>
    <row r="45" spans="2:13" ht="25.15" customHeight="1" x14ac:dyDescent="0.25">
      <c r="B45" s="2">
        <v>3</v>
      </c>
      <c r="C45" s="100"/>
      <c r="D45" s="101"/>
      <c r="E45" s="73"/>
      <c r="F45" s="76"/>
      <c r="G45" s="76"/>
      <c r="H45" s="97"/>
      <c r="I45" s="97"/>
      <c r="J45" s="95">
        <f t="shared" si="1"/>
        <v>0</v>
      </c>
      <c r="K45" s="95"/>
      <c r="L45" s="96"/>
    </row>
    <row r="46" spans="2:13" ht="25.15" customHeight="1" x14ac:dyDescent="0.25">
      <c r="B46" s="2">
        <v>4</v>
      </c>
      <c r="C46" s="100"/>
      <c r="D46" s="101"/>
      <c r="E46" s="73"/>
      <c r="F46" s="77"/>
      <c r="G46" s="77"/>
      <c r="H46" s="97"/>
      <c r="I46" s="97"/>
      <c r="J46" s="95">
        <f t="shared" ref="J46:J52" si="2">+H46*G46</f>
        <v>0</v>
      </c>
      <c r="K46" s="95"/>
      <c r="L46" s="96"/>
    </row>
    <row r="47" spans="2:13" ht="25.15" customHeight="1" x14ac:dyDescent="0.25">
      <c r="B47" s="2">
        <v>5</v>
      </c>
      <c r="C47" s="100"/>
      <c r="D47" s="101"/>
      <c r="E47" s="73"/>
      <c r="F47" s="77"/>
      <c r="G47" s="77"/>
      <c r="H47" s="97"/>
      <c r="I47" s="97"/>
      <c r="J47" s="95">
        <f t="shared" si="2"/>
        <v>0</v>
      </c>
      <c r="K47" s="95"/>
      <c r="L47" s="96"/>
    </row>
    <row r="48" spans="2:13" ht="25.15" customHeight="1" x14ac:dyDescent="0.25">
      <c r="B48" s="2">
        <v>6</v>
      </c>
      <c r="C48" s="100"/>
      <c r="D48" s="101"/>
      <c r="E48" s="73"/>
      <c r="F48" s="77"/>
      <c r="G48" s="77"/>
      <c r="H48" s="97"/>
      <c r="I48" s="97"/>
      <c r="J48" s="95">
        <f t="shared" ref="J48:J50" si="3">+H48*G48</f>
        <v>0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7"/>
      <c r="G49" s="77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7"/>
      <c r="G50" s="77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6977.9599999999991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88</v>
      </c>
      <c r="D56" s="85"/>
      <c r="E56" s="73">
        <f>+E43</f>
        <v>46214</v>
      </c>
      <c r="F56" s="48" t="s">
        <v>89</v>
      </c>
      <c r="G56" s="48">
        <v>6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6977.9599999999991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3"/>
      <c r="F64" s="82" t="s">
        <v>14</v>
      </c>
      <c r="G64" s="82"/>
      <c r="H64" s="153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2"/>
      <c r="D75" s="82"/>
      <c r="E75" s="153"/>
      <c r="F75" s="82" t="s">
        <v>68</v>
      </c>
      <c r="G75" s="82"/>
      <c r="H75" s="153"/>
      <c r="I75" s="81" t="s">
        <v>31</v>
      </c>
      <c r="J75" s="82"/>
      <c r="K75" s="82"/>
      <c r="L75" s="83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3"/>
      <c r="F86" s="82" t="s">
        <v>64</v>
      </c>
      <c r="G86" s="82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3"/>
      <c r="F96" s="82" t="s">
        <v>32</v>
      </c>
      <c r="G96" s="82"/>
      <c r="H96" s="153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K81" sqref="K8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46214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192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C3 / 20.20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2026-07-13T05:51:23Z</cp:lastPrinted>
  <dcterms:created xsi:type="dcterms:W3CDTF">2014-05-26T07:40:11Z</dcterms:created>
  <dcterms:modified xsi:type="dcterms:W3CDTF">2026-07-13T05:51:30Z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