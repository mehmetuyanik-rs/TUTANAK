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19C9585F-E6F9-4BAD-AAE4-2BF9FDA3E151}" xr6:coauthVersionLast="47" xr6:coauthVersionMax="47" xr10:uidLastSave="{00000000-0000-0000-0000-000000000000}"/>
  <bookViews>
    <workbookView xWindow="24825" yWindow="60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TUT.'!$B$2:$L$109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D7" i="4" l="1"/>
  <c r="I9" i="4" l="1"/>
  <c r="D5" i="4"/>
  <c r="J58" i="1" l="1"/>
  <c r="J57" i="1"/>
  <c r="J56" i="1"/>
  <c r="J55" i="1"/>
  <c r="J54" i="1"/>
  <c r="J50" i="1"/>
  <c r="J49" i="1"/>
  <c r="J48" i="1"/>
  <c r="J44" i="1"/>
  <c r="J43" i="1"/>
  <c r="J59" i="1" l="1"/>
  <c r="J51" i="1"/>
  <c r="J60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<sst xmlns="http://schemas.openxmlformats.org/spreadsheetml/2006/main" count="107" uniqueCount="89">
  <si>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</si>
  <si>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</si>
  <si>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</si>
  <si>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</si>
  <si>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</si>
  <si>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</si>
  <si>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</si>
  <si>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</si>
  <si>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</si>
  <si>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</si>
  <si>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</si>
  <si>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</si>
  <si>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</si>
  <si>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</si>
  <si>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</si>
  <si>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</si>
  <si>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</si>
  <si>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</si>
  <si>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</si>
  <si>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</si>
  <si>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</si>
  <si>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</si>
  <si>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</si>
  <si>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</si>
  <si>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</si>
  <si>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</si>
  <si>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</si>
  <si>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</si>
  <si>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</si>
  <si>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</si>
  <si>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</si>
  <si>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</si>
  <si>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</si>
  <si>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</si>
  <si>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</si>
  <si>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</si>
  <si>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</si>
  <si>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</si>
  <si>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</si>
  <si>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</si>
  <si>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</si>
  <si>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</si>
  <si>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</si>
  <si>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</si>
  <si>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</si>
  <si>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</si>
  <si>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</si>
  <si>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</si>
  <si>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</si>
  <si>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</si>
  <si>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</si>
  <si>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</si>
  <si>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</si>
  <si>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</si>
  <si>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</si>
  <si>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</si>
  <si>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</si>
  <si>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</si>
  <si>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</si>
  <si>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</si>
  <si>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</si>
  <si>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</si>
  <si>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</si>
  <si>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</si>
  <si>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</si>
  <si>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</si>
  <si>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</si>
  <si>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</si>
  <si>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</si>
  <si>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</si>
  <si>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</si>
  <si>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</si>
  <si>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</si>
  <si>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</si>
  <si>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</si>
  <si>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</si>
  <si>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</si>
  <si>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</si>
  <si>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</si>
  <si>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</si>
  <si>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</si>
  <si>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</si>
  <si>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</si>
  <si>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</si>
  <si>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135</t>
  </si>
  <si>
    <t>C5/20.20/ŞM-84 ŞAFT</t>
  </si>
  <si>
    <t>C5 Blok 20.20 kotu ŞM-84 şaftı gazbeton duvar Sc birleşim firması tarafından yıkılmıştır.</t>
  </si>
  <si>
    <t>Ali BİÇER (USTA)</t>
  </si>
  <si>
    <t>Erol TUNA 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</si>
</sst>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63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84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86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261938</xdr:colOff>
      <xdr:row>14</xdr:row>
      <xdr:rowOff>190500</xdr:rowOff>
    </xdr:from>
    <xdr:to>
      <xdr:col>6</xdr:col>
      <xdr:colOff>14288</xdr:colOff>
      <xdr:row>54</xdr:row>
      <xdr:rowOff>176212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341437B5-2BAE-4BCC-B221-21A4992B6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88" y="333375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578626</xdr:colOff>
      <xdr:row>14</xdr:row>
      <xdr:rowOff>197625</xdr:rowOff>
    </xdr:from>
    <xdr:to>
      <xdr:col>10</xdr:col>
      <xdr:colOff>1783538</xdr:colOff>
      <xdr:row>54</xdr:row>
      <xdr:rowOff>183337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4F1E73C5-F025-49B1-9438-BEA21DD5B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4376" y="3340875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9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66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0" t="s">
        <v>8</v>
      </c>
      <c r="C5" s="140"/>
      <c r="D5" s="164">
        <v>46154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0" t="s">
        <v>9</v>
      </c>
      <c r="C7" s="141"/>
      <c r="D7" s="158" t="s">
        <v>84</v>
      </c>
      <c r="E7" s="159"/>
      <c r="F7" s="160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0" t="s">
        <v>10</v>
      </c>
      <c r="C9" s="141"/>
      <c r="D9" s="161" t="s">
        <v>81</v>
      </c>
      <c r="E9" s="162"/>
      <c r="F9" s="163"/>
      <c r="G9" s="42"/>
      <c r="H9" s="43" t="s">
        <v>36</v>
      </c>
      <c r="I9" s="161" t="s">
        <v>85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0" t="s">
        <v>11</v>
      </c>
      <c r="C12" s="140"/>
      <c r="D12" s="141"/>
      <c r="E12" s="142"/>
      <c r="F12" s="143"/>
      <c r="G12" s="143"/>
      <c r="H12" s="143"/>
      <c r="I12" s="143"/>
      <c r="J12" s="143"/>
      <c r="K12" s="143"/>
      <c r="L12" s="144"/>
      <c r="M12" s="1"/>
    </row>
    <row r="13" spans="2:13" ht="15.75" thickBot="1" x14ac:dyDescent="0.3">
      <c r="B13" s="140"/>
      <c r="C13" s="140"/>
      <c r="D13" s="141"/>
      <c r="E13" s="145"/>
      <c r="F13" s="146"/>
      <c r="G13" s="146"/>
      <c r="H13" s="146"/>
      <c r="I13" s="146"/>
      <c r="J13" s="146"/>
      <c r="K13" s="146"/>
      <c r="L13" s="14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9" t="s">
        <v>17</v>
      </c>
      <c r="C15" s="129"/>
      <c r="D15" s="130"/>
      <c r="E15" s="34"/>
      <c r="F15" s="114" t="s">
        <v>37</v>
      </c>
      <c r="G15" s="114"/>
      <c r="H15" s="114"/>
      <c r="I15" s="114"/>
      <c r="J15" s="114"/>
      <c r="K15" s="114"/>
      <c r="L15" s="115"/>
      <c r="M15" s="1"/>
    </row>
    <row r="16" spans="2:13" ht="4.1500000000000004" customHeight="1" x14ac:dyDescent="0.25">
      <c r="B16" s="129"/>
      <c r="C16" s="129"/>
      <c r="D16" s="130"/>
      <c r="E16" s="154"/>
      <c r="F16" s="155"/>
      <c r="G16" s="155"/>
      <c r="H16" s="155"/>
      <c r="I16" s="155"/>
      <c r="J16" s="155"/>
      <c r="K16" s="155"/>
      <c r="L16" s="156"/>
      <c r="M16" s="1"/>
    </row>
    <row r="17" spans="2:13" ht="25.9" customHeight="1" x14ac:dyDescent="0.25">
      <c r="B17" s="129"/>
      <c r="C17" s="129"/>
      <c r="D17" s="130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29"/>
      <c r="C18" s="129"/>
      <c r="D18" s="130"/>
      <c r="E18" s="154"/>
      <c r="F18" s="155"/>
      <c r="G18" s="155"/>
      <c r="H18" s="155"/>
      <c r="I18" s="155"/>
      <c r="J18" s="155"/>
      <c r="K18" s="155"/>
      <c r="L18" s="156"/>
      <c r="M18" s="1"/>
    </row>
    <row r="19" spans="2:13" ht="25.9" customHeight="1" thickBot="1" x14ac:dyDescent="0.3">
      <c r="B19" s="129"/>
      <c r="C19" s="129"/>
      <c r="D19" s="130"/>
      <c r="E19" s="35"/>
      <c r="F19" s="36" t="s">
        <v>16</v>
      </c>
      <c r="G19" s="36"/>
      <c r="H19" s="36"/>
      <c r="I19" s="131"/>
      <c r="J19" s="132"/>
      <c r="K19" s="133"/>
      <c r="L19" s="38"/>
      <c r="M19" s="1"/>
    </row>
    <row r="20" spans="2:13" ht="4.1500000000000004" customHeight="1" thickBot="1" x14ac:dyDescent="0.3">
      <c r="B20" s="129"/>
      <c r="C20" s="129"/>
      <c r="D20" s="130"/>
      <c r="E20" s="154"/>
      <c r="F20" s="155"/>
      <c r="G20" s="155"/>
      <c r="H20" s="155"/>
      <c r="I20" s="155"/>
      <c r="J20" s="155"/>
      <c r="K20" s="155"/>
      <c r="L20" s="156"/>
      <c r="M20" s="1"/>
    </row>
    <row r="21" spans="2:13" ht="25.9" customHeight="1" thickBot="1" x14ac:dyDescent="0.3">
      <c r="B21" s="129"/>
      <c r="C21" s="129"/>
      <c r="D21" s="130"/>
      <c r="E21" s="35"/>
      <c r="F21" s="36" t="s">
        <v>7</v>
      </c>
      <c r="G21" s="36"/>
      <c r="H21" s="36"/>
      <c r="I21" s="131"/>
      <c r="J21" s="132"/>
      <c r="K21" s="133"/>
      <c r="L21" s="38"/>
      <c r="M21" s="1"/>
    </row>
    <row r="22" spans="2:13" ht="4.1500000000000004" customHeight="1" thickBot="1" x14ac:dyDescent="0.3">
      <c r="B22" s="129"/>
      <c r="C22" s="129"/>
      <c r="D22" s="130"/>
      <c r="E22" s="154"/>
      <c r="F22" s="155"/>
      <c r="G22" s="155"/>
      <c r="H22" s="155"/>
      <c r="I22" s="155"/>
      <c r="J22" s="155"/>
      <c r="K22" s="155"/>
      <c r="L22" s="156"/>
      <c r="M22" s="1"/>
    </row>
    <row r="23" spans="2:13" ht="25.9" customHeight="1" thickBot="1" x14ac:dyDescent="0.3">
      <c r="B23" s="129"/>
      <c r="C23" s="129"/>
      <c r="D23" s="130"/>
      <c r="E23" s="35"/>
      <c r="F23" s="126" t="s">
        <v>26</v>
      </c>
      <c r="G23" s="126"/>
      <c r="H23" s="127"/>
      <c r="I23" s="131"/>
      <c r="J23" s="132"/>
      <c r="K23" s="133"/>
      <c r="L23" s="38"/>
      <c r="M23" s="1"/>
    </row>
    <row r="24" spans="2:13" ht="4.1500000000000004" customHeight="1" x14ac:dyDescent="0.25">
      <c r="B24" s="129"/>
      <c r="C24" s="129"/>
      <c r="D24" s="130"/>
      <c r="E24" s="154"/>
      <c r="F24" s="155"/>
      <c r="G24" s="155"/>
      <c r="H24" s="155"/>
      <c r="I24" s="155"/>
      <c r="J24" s="155"/>
      <c r="K24" s="155"/>
      <c r="L24" s="156"/>
      <c r="M24" s="1"/>
    </row>
    <row r="25" spans="2:13" ht="25.9" customHeight="1" thickBot="1" x14ac:dyDescent="0.3">
      <c r="B25" s="129"/>
      <c r="C25" s="129"/>
      <c r="D25" s="130"/>
      <c r="E25" s="39"/>
      <c r="F25" s="117" t="s">
        <v>38</v>
      </c>
      <c r="G25" s="117"/>
      <c r="H25" s="117"/>
      <c r="I25" s="117"/>
      <c r="J25" s="117"/>
      <c r="K25" s="117"/>
      <c r="L25" s="118"/>
      <c r="M25" s="1"/>
    </row>
    <row r="26" spans="2:13" ht="10.9" customHeight="1" thickBot="1" x14ac:dyDescent="0.3">
      <c r="B26" s="33"/>
      <c r="C26" s="33"/>
      <c r="D26" s="33"/>
      <c r="E26" s="132"/>
      <c r="F26" s="132"/>
      <c r="G26" s="132"/>
      <c r="H26" s="132"/>
      <c r="I26" s="132"/>
      <c r="J26" s="132"/>
      <c r="K26" s="132"/>
      <c r="L26" s="132"/>
      <c r="M26" s="1"/>
    </row>
    <row r="27" spans="2:13" x14ac:dyDescent="0.25">
      <c r="B27" s="129" t="s">
        <v>23</v>
      </c>
      <c r="C27" s="129"/>
      <c r="D27" s="130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29"/>
      <c r="C28" s="129"/>
      <c r="D28" s="130"/>
      <c r="E28" s="134" t="s">
        <v>86</v>
      </c>
      <c r="F28" s="135"/>
      <c r="G28" s="135"/>
      <c r="H28" s="135"/>
      <c r="I28" s="135"/>
      <c r="J28" s="135"/>
      <c r="K28" s="135"/>
      <c r="L28" s="136"/>
      <c r="M28" s="1"/>
    </row>
    <row r="29" spans="2:13" x14ac:dyDescent="0.25">
      <c r="B29" s="129"/>
      <c r="C29" s="129"/>
      <c r="D29" s="130"/>
      <c r="E29" s="134"/>
      <c r="F29" s="135"/>
      <c r="G29" s="135"/>
      <c r="H29" s="135"/>
      <c r="I29" s="135"/>
      <c r="J29" s="135"/>
      <c r="K29" s="135"/>
      <c r="L29" s="136"/>
      <c r="M29" s="1"/>
    </row>
    <row r="30" spans="2:13" x14ac:dyDescent="0.25">
      <c r="B30" s="129"/>
      <c r="C30" s="129"/>
      <c r="D30" s="130"/>
      <c r="E30" s="134"/>
      <c r="F30" s="135"/>
      <c r="G30" s="135"/>
      <c r="H30" s="135"/>
      <c r="I30" s="135"/>
      <c r="J30" s="135"/>
      <c r="K30" s="135"/>
      <c r="L30" s="136"/>
      <c r="M30" s="1"/>
    </row>
    <row r="31" spans="2:13" ht="15.75" thickBot="1" x14ac:dyDescent="0.3">
      <c r="B31" s="129"/>
      <c r="C31" s="129"/>
      <c r="D31" s="130"/>
      <c r="E31" s="137"/>
      <c r="F31" s="138"/>
      <c r="G31" s="138"/>
      <c r="H31" s="138"/>
      <c r="I31" s="138"/>
      <c r="J31" s="138"/>
      <c r="K31" s="138"/>
      <c r="L31" s="139"/>
      <c r="M31" s="1"/>
    </row>
    <row r="32" spans="2:13" x14ac:dyDescent="0.25">
      <c r="B32" s="129"/>
      <c r="C32" s="129"/>
      <c r="D32" s="130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29"/>
      <c r="C33" s="129"/>
      <c r="D33" s="130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29"/>
      <c r="C34" s="129"/>
      <c r="D34" s="130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29"/>
      <c r="C35" s="129"/>
      <c r="D35" s="130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29"/>
      <c r="C36" s="129"/>
      <c r="D36" s="130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50" t="s">
        <v>12</v>
      </c>
      <c r="C38" s="151"/>
      <c r="D38" s="113" t="s">
        <v>13</v>
      </c>
      <c r="E38" s="115"/>
      <c r="F38" s="113" t="s">
        <v>30</v>
      </c>
      <c r="G38" s="114"/>
      <c r="H38" s="115"/>
      <c r="I38" s="114" t="s">
        <v>18</v>
      </c>
      <c r="J38" s="114"/>
      <c r="K38" s="114"/>
      <c r="L38" s="115"/>
      <c r="M38" s="1"/>
    </row>
    <row r="39" spans="2:13" ht="15.75" thickBot="1" x14ac:dyDescent="0.3">
      <c r="B39" s="152"/>
      <c r="C39" s="153"/>
      <c r="D39" s="116"/>
      <c r="E39" s="118"/>
      <c r="F39" s="116"/>
      <c r="G39" s="117"/>
      <c r="H39" s="118"/>
      <c r="I39" s="117"/>
      <c r="J39" s="117"/>
      <c r="K39" s="117"/>
      <c r="L39" s="118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28"/>
      <c r="I41" s="128"/>
      <c r="J41" s="128"/>
      <c r="K41" s="128"/>
      <c r="L41" s="1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48" t="s">
        <v>4</v>
      </c>
      <c r="I42" s="148"/>
      <c r="J42" s="148" t="s">
        <v>5</v>
      </c>
      <c r="K42" s="148"/>
      <c r="L42" s="149"/>
    </row>
    <row r="43" spans="2:13" ht="25.15" customHeight="1" x14ac:dyDescent="0.25">
      <c r="B43" s="2">
        <v>1</v>
      </c>
      <c r="C43" s="108" t="s">
        <v>87</v>
      </c>
      <c r="D43" s="109"/>
      <c r="E43" s="59">
        <f t="shared" ref="E43:E46" si="0">D$5</f>
        <v>46154</v>
      </c>
      <c r="F43" s="48" t="s">
        <v>82</v>
      </c>
      <c r="G43" s="48">
        <v>1</v>
      </c>
      <c r="H43" s="170"/>
      <c r="I43" s="170"/>
      <c r="J43" s="122">
        <f>+H43*G43</f>
        <v>0</v>
      </c>
      <c r="K43" s="123"/>
      <c r="L43" s="124"/>
    </row>
    <row r="44" spans="2:13" ht="25.15" customHeight="1" x14ac:dyDescent="0.25">
      <c r="B44" s="2">
        <v>2</v>
      </c>
      <c r="C44" s="108" t="s">
        <v>88</v>
      </c>
      <c r="D44" s="109"/>
      <c r="E44" s="59">
        <f t="shared" si="0"/>
        <v>46154</v>
      </c>
      <c r="F44" s="73" t="s">
        <v>82</v>
      </c>
      <c r="G44" s="73">
        <v>1</v>
      </c>
      <c r="H44" s="170"/>
      <c r="I44" s="170"/>
      <c r="J44" s="122">
        <f t="shared" ref="J44:J58" si="1">+H44*G44</f>
        <v>0</v>
      </c>
      <c r="K44" s="123"/>
      <c r="L44" s="124"/>
    </row>
    <row r="45" spans="2:13" ht="25.15" customHeight="1" x14ac:dyDescent="0.25">
      <c r="B45" s="2">
        <v>3</v>
      </c>
      <c r="C45" s="108"/>
      <c r="D45" s="109"/>
      <c r="E45" s="59"/>
      <c r="F45" s="75"/>
      <c r="G45" s="75"/>
      <c r="H45" s="170"/>
      <c r="I45" s="170"/>
      <c r="J45" s="122"/>
      <c r="K45" s="123"/>
      <c r="L45" s="74"/>
    </row>
    <row r="46" spans="2:13" ht="25.15" customHeight="1" x14ac:dyDescent="0.25">
      <c r="B46" s="2">
        <v>4</v>
      </c>
      <c r="C46" s="108"/>
      <c r="D46" s="109"/>
      <c r="E46" s="59"/>
      <c r="F46" s="75"/>
      <c r="G46" s="75"/>
      <c r="H46" s="170"/>
      <c r="I46" s="170"/>
      <c r="J46" s="122"/>
      <c r="K46" s="123"/>
      <c r="L46" s="74"/>
    </row>
    <row r="47" spans="2:13" ht="25.15" customHeight="1" x14ac:dyDescent="0.25">
      <c r="B47" s="2">
        <v>5</v>
      </c>
      <c r="C47" s="108"/>
      <c r="D47" s="109"/>
      <c r="E47" s="59"/>
      <c r="F47" s="75"/>
      <c r="G47" s="75"/>
      <c r="H47" s="170"/>
      <c r="I47" s="170"/>
      <c r="J47" s="122"/>
      <c r="K47" s="123"/>
      <c r="L47" s="74"/>
    </row>
    <row r="48" spans="2:13" ht="25.15" customHeight="1" x14ac:dyDescent="0.25">
      <c r="B48" s="2">
        <v>6</v>
      </c>
      <c r="C48" s="108"/>
      <c r="D48" s="109"/>
      <c r="E48" s="59"/>
      <c r="F48" s="75"/>
      <c r="G48" s="75"/>
      <c r="H48" s="170"/>
      <c r="I48" s="170"/>
      <c r="J48" s="122">
        <f t="shared" si="1"/>
        <v>0</v>
      </c>
      <c r="K48" s="123"/>
      <c r="L48" s="124"/>
    </row>
    <row r="49" spans="2:12" ht="25.15" customHeight="1" x14ac:dyDescent="0.25">
      <c r="B49" s="2">
        <v>7</v>
      </c>
      <c r="C49" s="108"/>
      <c r="D49" s="109"/>
      <c r="E49" s="59"/>
      <c r="F49" s="75"/>
      <c r="G49" s="75"/>
      <c r="H49" s="122"/>
      <c r="I49" s="123"/>
      <c r="J49" s="122">
        <f t="shared" si="1"/>
        <v>0</v>
      </c>
      <c r="K49" s="123"/>
      <c r="L49" s="124"/>
    </row>
    <row r="50" spans="2:12" ht="25.15" customHeight="1" thickBot="1" x14ac:dyDescent="0.3">
      <c r="B50" s="2">
        <v>8</v>
      </c>
      <c r="C50" s="108"/>
      <c r="D50" s="109"/>
      <c r="E50" s="59"/>
      <c r="F50" s="75"/>
      <c r="G50" s="75"/>
      <c r="H50" s="122"/>
      <c r="I50" s="123"/>
      <c r="J50" s="122">
        <f t="shared" si="1"/>
        <v>0</v>
      </c>
      <c r="K50" s="123"/>
      <c r="L50" s="124"/>
    </row>
    <row r="51" spans="2:12" ht="25.15" customHeight="1" thickBot="1" x14ac:dyDescent="0.3">
      <c r="B51" s="112" t="s">
        <v>74</v>
      </c>
      <c r="C51" s="112"/>
      <c r="D51" s="112"/>
      <c r="E51" s="112"/>
      <c r="F51" s="112"/>
      <c r="G51" s="112"/>
      <c r="H51" s="112"/>
      <c r="I51" s="112"/>
      <c r="J51" s="119">
        <f>+SUM(J43:L50)</f>
        <v>0</v>
      </c>
      <c r="K51" s="120"/>
      <c r="L51" s="121"/>
    </row>
    <row r="52" spans="2:12" ht="25.15" customHeight="1" thickBot="1" x14ac:dyDescent="0.3">
      <c r="B52" s="3" t="s">
        <v>70</v>
      </c>
      <c r="C52" s="57" t="s">
        <v>71</v>
      </c>
      <c r="D52" s="58"/>
      <c r="E52" s="58"/>
      <c r="F52" s="58"/>
      <c r="G52" s="58"/>
      <c r="H52" s="128"/>
      <c r="I52" s="128"/>
      <c r="J52" s="128"/>
      <c r="K52" s="128"/>
      <c r="L52" s="169"/>
    </row>
    <row r="53" spans="2:12" ht="25.15" customHeight="1" thickBot="1" x14ac:dyDescent="0.3">
      <c r="B53" s="3" t="s">
        <v>0</v>
      </c>
      <c r="C53" s="45" t="s">
        <v>1</v>
      </c>
      <c r="D53" s="46"/>
      <c r="E53" s="46" t="s">
        <v>33</v>
      </c>
      <c r="F53" s="46" t="s">
        <v>2</v>
      </c>
      <c r="G53" s="46" t="s">
        <v>3</v>
      </c>
      <c r="H53" s="148" t="s">
        <v>4</v>
      </c>
      <c r="I53" s="148"/>
      <c r="J53" s="148" t="s">
        <v>5</v>
      </c>
      <c r="K53" s="148"/>
      <c r="L53" s="149"/>
    </row>
    <row r="54" spans="2:12" ht="25.15" customHeight="1" x14ac:dyDescent="0.25">
      <c r="B54" s="2">
        <v>1</v>
      </c>
      <c r="C54" s="125"/>
      <c r="D54" s="123"/>
      <c r="E54" s="59"/>
      <c r="F54" s="48"/>
      <c r="G54" s="48"/>
      <c r="H54" s="122"/>
      <c r="I54" s="123"/>
      <c r="J54" s="122">
        <f t="shared" si="1"/>
        <v>0</v>
      </c>
      <c r="K54" s="123"/>
      <c r="L54" s="124"/>
    </row>
    <row r="55" spans="2:12" ht="25.15" customHeight="1" x14ac:dyDescent="0.25">
      <c r="B55" s="2">
        <v>2</v>
      </c>
      <c r="C55" s="125"/>
      <c r="D55" s="123"/>
      <c r="E55" s="59"/>
      <c r="F55" s="48"/>
      <c r="G55" s="48"/>
      <c r="H55" s="122"/>
      <c r="I55" s="123"/>
      <c r="J55" s="122">
        <f t="shared" si="1"/>
        <v>0</v>
      </c>
      <c r="K55" s="123"/>
      <c r="L55" s="124"/>
    </row>
    <row r="56" spans="2:12" ht="25.15" customHeight="1" x14ac:dyDescent="0.25">
      <c r="B56" s="2">
        <v>3</v>
      </c>
      <c r="C56" s="125"/>
      <c r="D56" s="123"/>
      <c r="E56" s="59"/>
      <c r="F56" s="48"/>
      <c r="G56" s="48"/>
      <c r="H56" s="122"/>
      <c r="I56" s="123"/>
      <c r="J56" s="122">
        <f t="shared" si="1"/>
        <v>0</v>
      </c>
      <c r="K56" s="123"/>
      <c r="L56" s="124"/>
    </row>
    <row r="57" spans="2:12" ht="25.15" customHeight="1" x14ac:dyDescent="0.25">
      <c r="B57" s="2">
        <v>4</v>
      </c>
      <c r="C57" s="125"/>
      <c r="D57" s="123"/>
      <c r="E57" s="59"/>
      <c r="F57" s="48"/>
      <c r="G57" s="48"/>
      <c r="H57" s="122"/>
      <c r="I57" s="123"/>
      <c r="J57" s="122">
        <f t="shared" si="1"/>
        <v>0</v>
      </c>
      <c r="K57" s="123"/>
      <c r="L57" s="124"/>
    </row>
    <row r="58" spans="2:12" ht="25.15" customHeight="1" thickBot="1" x14ac:dyDescent="0.3">
      <c r="B58" s="2">
        <v>5</v>
      </c>
      <c r="C58" s="125"/>
      <c r="D58" s="123"/>
      <c r="E58" s="47"/>
      <c r="F58" s="48"/>
      <c r="G58" s="48"/>
      <c r="H58" s="122"/>
      <c r="I58" s="123"/>
      <c r="J58" s="122">
        <f t="shared" si="1"/>
        <v>0</v>
      </c>
      <c r="K58" s="123"/>
      <c r="L58" s="124"/>
    </row>
    <row r="59" spans="2:12" ht="25.15" customHeight="1" thickBot="1" x14ac:dyDescent="0.3">
      <c r="B59" s="112" t="s">
        <v>74</v>
      </c>
      <c r="C59" s="112"/>
      <c r="D59" s="112"/>
      <c r="E59" s="112"/>
      <c r="F59" s="112"/>
      <c r="G59" s="112"/>
      <c r="H59" s="112"/>
      <c r="I59" s="112"/>
      <c r="J59" s="119">
        <f>+SUM(J54:L58)</f>
        <v>0</v>
      </c>
      <c r="K59" s="120"/>
      <c r="L59" s="121"/>
    </row>
    <row r="60" spans="2:12" ht="25.15" customHeight="1" thickBot="1" x14ac:dyDescent="0.3">
      <c r="B60" s="112" t="s">
        <v>6</v>
      </c>
      <c r="C60" s="112"/>
      <c r="D60" s="112"/>
      <c r="E60" s="112"/>
      <c r="F60" s="112"/>
      <c r="G60" s="112"/>
      <c r="H60" s="112"/>
      <c r="I60" s="112"/>
      <c r="J60" s="119">
        <f>+J59+J51</f>
        <v>0</v>
      </c>
      <c r="K60" s="120"/>
      <c r="L60" s="121"/>
    </row>
    <row r="61" spans="2:12" ht="18.600000000000001" customHeight="1" thickBot="1" x14ac:dyDescent="0.3">
      <c r="B61" s="40"/>
      <c r="C61" s="40"/>
      <c r="D61" s="40"/>
      <c r="E61" s="40"/>
      <c r="F61" s="40"/>
      <c r="G61" s="40"/>
      <c r="H61" s="168"/>
      <c r="I61" s="168"/>
      <c r="J61" s="110"/>
      <c r="K61" s="111"/>
      <c r="L61" s="111"/>
    </row>
    <row r="62" spans="2:12" ht="21" customHeight="1" x14ac:dyDescent="0.25">
      <c r="B62" s="85" t="s">
        <v>15</v>
      </c>
      <c r="C62" s="83"/>
      <c r="D62" s="83"/>
      <c r="E62" s="84"/>
      <c r="F62" s="83" t="s">
        <v>14</v>
      </c>
      <c r="G62" s="83"/>
      <c r="H62" s="84"/>
      <c r="I62" s="85" t="s">
        <v>22</v>
      </c>
      <c r="J62" s="83"/>
      <c r="K62" s="83"/>
      <c r="L62" s="92"/>
    </row>
    <row r="63" spans="2:12" ht="8.25" customHeight="1" x14ac:dyDescent="0.25">
      <c r="B63" s="5"/>
      <c r="C63" s="6"/>
      <c r="D63" s="6"/>
      <c r="E63" s="7"/>
      <c r="F63" s="4"/>
      <c r="G63" s="4"/>
      <c r="H63" s="4"/>
      <c r="I63" s="8"/>
      <c r="J63" s="4"/>
      <c r="K63" s="4"/>
      <c r="L63" s="17"/>
    </row>
    <row r="64" spans="2:12" s="1" customFormat="1" ht="14.45" customHeight="1" x14ac:dyDescent="0.25">
      <c r="B64" s="8"/>
      <c r="C64" s="4"/>
      <c r="D64" s="4"/>
      <c r="E64" s="9"/>
      <c r="F64" s="86" t="s">
        <v>29</v>
      </c>
      <c r="G64" s="87"/>
      <c r="H64" s="8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89"/>
      <c r="G65" s="87"/>
      <c r="H65" s="88"/>
      <c r="I65" s="8"/>
      <c r="J65" s="4"/>
      <c r="K65" s="4"/>
      <c r="L65" s="17"/>
    </row>
    <row r="66" spans="2:12" ht="15" customHeight="1" x14ac:dyDescent="0.25">
      <c r="B66" s="8"/>
      <c r="C66" s="4"/>
      <c r="D66" s="4"/>
      <c r="E66" s="9"/>
      <c r="F66" s="86"/>
      <c r="G66" s="87"/>
      <c r="H66" s="88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9"/>
      <c r="G67" s="87"/>
      <c r="H67" s="88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19"/>
      <c r="G68" s="20"/>
      <c r="H68" s="21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9"/>
      <c r="G69" s="20"/>
      <c r="H69" s="21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4"/>
      <c r="G71" s="4"/>
      <c r="H71" s="4"/>
      <c r="I71" s="8"/>
      <c r="J71" s="4"/>
      <c r="K71" s="4"/>
      <c r="L71" s="17"/>
    </row>
    <row r="72" spans="2:12" ht="15.75" thickBot="1" x14ac:dyDescent="0.3">
      <c r="B72" s="10"/>
      <c r="C72" s="11"/>
      <c r="D72" s="11"/>
      <c r="E72" s="12"/>
      <c r="F72" s="4"/>
      <c r="G72" s="4"/>
      <c r="H72" s="4"/>
      <c r="I72" s="8"/>
      <c r="J72" s="4"/>
      <c r="K72" s="4"/>
      <c r="L72" s="17"/>
    </row>
    <row r="73" spans="2:12" ht="21" customHeight="1" x14ac:dyDescent="0.25">
      <c r="B73" s="167" t="s">
        <v>27</v>
      </c>
      <c r="C73" s="83"/>
      <c r="D73" s="83"/>
      <c r="E73" s="84"/>
      <c r="F73" s="83" t="s">
        <v>68</v>
      </c>
      <c r="G73" s="83"/>
      <c r="H73" s="84"/>
      <c r="I73" s="85" t="s">
        <v>31</v>
      </c>
      <c r="J73" s="83"/>
      <c r="K73" s="83"/>
      <c r="L73" s="92"/>
    </row>
    <row r="74" spans="2:12" ht="19.899999999999999" customHeight="1" x14ac:dyDescent="0.25">
      <c r="B74" s="77"/>
      <c r="C74" s="78"/>
      <c r="D74" s="78"/>
      <c r="E74" s="79"/>
      <c r="F74" s="93" t="s">
        <v>75</v>
      </c>
      <c r="G74" s="94"/>
      <c r="H74" s="95"/>
      <c r="I74" s="99" t="s">
        <v>25</v>
      </c>
      <c r="J74" s="100"/>
      <c r="K74" s="100"/>
      <c r="L74" s="101"/>
    </row>
    <row r="75" spans="2:12" ht="19.899999999999999" customHeight="1" x14ac:dyDescent="0.25">
      <c r="B75" s="80"/>
      <c r="C75" s="81"/>
      <c r="D75" s="81"/>
      <c r="E75" s="82"/>
      <c r="F75" s="96"/>
      <c r="G75" s="97"/>
      <c r="H75" s="98"/>
      <c r="I75" s="102"/>
      <c r="J75" s="103"/>
      <c r="K75" s="103"/>
      <c r="L75" s="104"/>
    </row>
    <row r="76" spans="2:12" ht="19.899999999999999" customHeight="1" x14ac:dyDescent="0.25">
      <c r="B76" s="80"/>
      <c r="C76" s="81"/>
      <c r="D76" s="81"/>
      <c r="E76" s="82"/>
      <c r="F76" s="96"/>
      <c r="G76" s="97"/>
      <c r="H76" s="98"/>
      <c r="I76" s="8"/>
      <c r="J76" s="4"/>
      <c r="K76" s="4"/>
      <c r="L76" s="9"/>
    </row>
    <row r="77" spans="2:12" ht="14.45" customHeight="1" x14ac:dyDescent="0.25">
      <c r="B77" s="13"/>
      <c r="C77" s="4"/>
      <c r="D77" s="4"/>
      <c r="E77" s="9"/>
      <c r="F77" s="4"/>
      <c r="G77" s="4"/>
      <c r="H77" s="9"/>
      <c r="I77" s="105"/>
      <c r="J77" s="106"/>
      <c r="K77" s="106"/>
      <c r="L77" s="107"/>
    </row>
    <row r="78" spans="2:12" ht="14.65" customHeight="1" x14ac:dyDescent="0.25">
      <c r="B78" s="13"/>
      <c r="C78" s="4"/>
      <c r="D78" s="4"/>
      <c r="E78" s="9"/>
      <c r="F78" s="15"/>
      <c r="G78" s="15"/>
      <c r="H78" s="16"/>
      <c r="I78" s="105"/>
      <c r="J78" s="106"/>
      <c r="K78" s="106"/>
      <c r="L78" s="107"/>
    </row>
    <row r="79" spans="2:12" x14ac:dyDescent="0.25">
      <c r="B79" s="13"/>
      <c r="C79" s="4"/>
      <c r="D79" s="4"/>
      <c r="E79" s="9"/>
      <c r="F79" s="15"/>
      <c r="G79" s="15"/>
      <c r="H79" s="16"/>
      <c r="I79" s="8"/>
      <c r="J79" s="4"/>
      <c r="K79" s="4"/>
      <c r="L79" s="9"/>
    </row>
    <row r="80" spans="2:12" x14ac:dyDescent="0.25">
      <c r="B80" s="13"/>
      <c r="C80" s="4"/>
      <c r="D80" s="4"/>
      <c r="E80" s="9"/>
      <c r="F80" s="4"/>
      <c r="G80" s="4"/>
      <c r="H80" s="9"/>
      <c r="I80" s="4"/>
      <c r="J80" s="4"/>
      <c r="K80" s="4"/>
      <c r="L80" s="17"/>
    </row>
    <row r="81" spans="2:12" x14ac:dyDescent="0.25">
      <c r="B81" s="13"/>
      <c r="C81" s="4"/>
      <c r="D81" s="4"/>
      <c r="E81" s="9"/>
      <c r="F81" s="4"/>
      <c r="G81" s="4"/>
      <c r="H81" s="9"/>
      <c r="I81" s="4"/>
      <c r="J81" s="4"/>
      <c r="K81" s="4"/>
      <c r="L81" s="17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ht="15.75" thickBot="1" x14ac:dyDescent="0.3">
      <c r="B83" s="14"/>
      <c r="C83" s="11"/>
      <c r="D83" s="11"/>
      <c r="E83" s="12"/>
      <c r="F83" s="11"/>
      <c r="G83" s="11"/>
      <c r="H83" s="12"/>
      <c r="I83" s="11"/>
      <c r="J83" s="11"/>
      <c r="K83" s="11"/>
      <c r="L83" s="18"/>
    </row>
    <row r="84" spans="2:12" ht="21" customHeight="1" x14ac:dyDescent="0.25">
      <c r="B84" s="85" t="s">
        <v>24</v>
      </c>
      <c r="C84" s="83"/>
      <c r="D84" s="83"/>
      <c r="E84" s="84"/>
      <c r="F84" s="83" t="s">
        <v>64</v>
      </c>
      <c r="G84" s="83"/>
      <c r="H84" s="84"/>
      <c r="I84" s="54" t="s">
        <v>67</v>
      </c>
      <c r="J84" s="55"/>
      <c r="K84" s="56" t="s">
        <v>56</v>
      </c>
      <c r="L84" s="56"/>
    </row>
    <row r="85" spans="2:12" ht="14.65" customHeight="1" x14ac:dyDescent="0.25">
      <c r="B85" s="22"/>
      <c r="C85" s="23"/>
      <c r="D85" s="23"/>
      <c r="E85" s="7"/>
      <c r="F85" s="6"/>
      <c r="G85" s="6"/>
      <c r="H85" s="7"/>
      <c r="I85" s="5"/>
      <c r="J85" s="7"/>
      <c r="K85" s="4"/>
      <c r="L85" s="17"/>
    </row>
    <row r="86" spans="2:12" ht="14.65" customHeight="1" x14ac:dyDescent="0.25">
      <c r="B86" s="8"/>
      <c r="C86" s="90" t="s">
        <v>62</v>
      </c>
      <c r="D86" s="90"/>
      <c r="E86" s="91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0"/>
      <c r="D87" s="90"/>
      <c r="E87" s="91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 t="s">
        <v>63</v>
      </c>
      <c r="D88" s="4"/>
      <c r="E88" s="9"/>
      <c r="F88" s="4"/>
      <c r="G88" s="4"/>
      <c r="H88" s="9"/>
      <c r="I88" s="8"/>
      <c r="J88" s="9"/>
      <c r="K88" s="4"/>
      <c r="L88" s="17"/>
    </row>
    <row r="89" spans="2:12" ht="14.65" customHeight="1" x14ac:dyDescent="0.25">
      <c r="B89" s="8"/>
      <c r="C89" s="90"/>
      <c r="D89" s="90"/>
      <c r="E89" s="9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90"/>
      <c r="D90" s="90"/>
      <c r="E90" s="91"/>
      <c r="F90" s="15"/>
      <c r="G90" s="15"/>
      <c r="H90" s="16"/>
      <c r="I90" s="8"/>
      <c r="J90" s="9"/>
      <c r="K90" s="4"/>
      <c r="L90" s="17"/>
    </row>
    <row r="91" spans="2:12" x14ac:dyDescent="0.25">
      <c r="B91" s="8"/>
      <c r="C91" s="4"/>
      <c r="D91" s="4"/>
      <c r="E91" s="9"/>
      <c r="F91" s="4"/>
      <c r="G91" s="4"/>
      <c r="H91" s="9"/>
      <c r="I91" s="8"/>
      <c r="J91" s="9"/>
      <c r="K91" s="4"/>
      <c r="L91" s="17"/>
    </row>
    <row r="92" spans="2:12" x14ac:dyDescent="0.25">
      <c r="B92" s="8"/>
      <c r="C92" s="4"/>
      <c r="D92" s="4"/>
      <c r="E92" s="9"/>
      <c r="F92" s="4"/>
      <c r="G92" s="4"/>
      <c r="H92" s="9"/>
      <c r="I92" s="8"/>
      <c r="J92" s="9"/>
      <c r="K92" s="4"/>
      <c r="L92" s="17"/>
    </row>
    <row r="93" spans="2:12" ht="15.75" thickBot="1" x14ac:dyDescent="0.3">
      <c r="B93" s="10"/>
      <c r="C93" s="11"/>
      <c r="D93" s="11"/>
      <c r="E93" s="12"/>
      <c r="F93" s="11"/>
      <c r="G93" s="11"/>
      <c r="H93" s="12"/>
      <c r="I93" s="10"/>
      <c r="J93" s="12"/>
      <c r="K93" s="11"/>
      <c r="L93" s="18"/>
    </row>
    <row r="94" spans="2:12" ht="21" customHeight="1" x14ac:dyDescent="0.25">
      <c r="B94" s="85" t="s">
        <v>57</v>
      </c>
      <c r="C94" s="83"/>
      <c r="D94" s="83"/>
      <c r="E94" s="84"/>
      <c r="F94" s="83" t="s">
        <v>32</v>
      </c>
      <c r="G94" s="83"/>
      <c r="H94" s="84"/>
      <c r="I94" s="85" t="s">
        <v>28</v>
      </c>
      <c r="J94" s="83"/>
      <c r="K94" s="83"/>
      <c r="L94" s="92"/>
    </row>
    <row r="95" spans="2:12" ht="14.65" customHeight="1" x14ac:dyDescent="0.25">
      <c r="B95" s="22"/>
      <c r="C95" s="23"/>
      <c r="D95" s="23"/>
      <c r="E95" s="7"/>
      <c r="F95" s="6"/>
      <c r="G95" s="6"/>
      <c r="H95" s="7"/>
      <c r="I95" s="4"/>
      <c r="J95" s="4"/>
      <c r="K95" s="4"/>
      <c r="L95" s="17"/>
    </row>
    <row r="96" spans="2:12" ht="14.65" customHeight="1" x14ac:dyDescent="0.25">
      <c r="B96" s="8"/>
      <c r="C96" s="90"/>
      <c r="D96" s="90"/>
      <c r="E96" s="91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0"/>
      <c r="D97" s="90"/>
      <c r="E97" s="91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ht="14.65" customHeight="1" x14ac:dyDescent="0.25">
      <c r="B99" s="8"/>
      <c r="C99" s="90"/>
      <c r="D99" s="90"/>
      <c r="E99" s="9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90"/>
      <c r="D100" s="90"/>
      <c r="E100" s="91"/>
      <c r="F100" s="15"/>
      <c r="G100" s="15"/>
      <c r="H100" s="16"/>
      <c r="I100" s="4"/>
      <c r="J100" s="4"/>
      <c r="K100" s="4"/>
      <c r="L100" s="17"/>
    </row>
    <row r="101" spans="2:12" x14ac:dyDescent="0.25">
      <c r="B101" s="8"/>
      <c r="C101" s="4"/>
      <c r="D101" s="4"/>
      <c r="E101" s="9"/>
      <c r="F101" s="4"/>
      <c r="G101" s="4"/>
      <c r="H101" s="9"/>
      <c r="I101" s="4"/>
      <c r="J101" s="4"/>
      <c r="K101" s="4"/>
      <c r="L101" s="17"/>
    </row>
    <row r="102" spans="2:12" x14ac:dyDescent="0.25">
      <c r="B102" s="8"/>
      <c r="C102" s="4"/>
      <c r="D102" s="4"/>
      <c r="E102" s="9"/>
      <c r="F102" s="4"/>
      <c r="G102" s="4"/>
      <c r="H102" s="9"/>
      <c r="I102" s="4"/>
      <c r="J102" s="4"/>
      <c r="K102" s="4"/>
      <c r="L102" s="17"/>
    </row>
    <row r="103" spans="2:12" ht="15.75" thickBot="1" x14ac:dyDescent="0.3">
      <c r="B103" s="10"/>
      <c r="C103" s="11"/>
      <c r="D103" s="11"/>
      <c r="E103" s="12"/>
      <c r="F103" s="11"/>
      <c r="G103" s="11"/>
      <c r="H103" s="12"/>
      <c r="I103" s="11"/>
      <c r="J103" s="11"/>
      <c r="K103" s="11"/>
      <c r="L103" s="18"/>
    </row>
    <row r="104" spans="2:12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 ht="16.149999999999999" customHeight="1" x14ac:dyDescent="0.25">
      <c r="B105" s="4"/>
      <c r="C105" s="76" t="s">
        <v>73</v>
      </c>
      <c r="D105" s="76"/>
      <c r="E105" s="76"/>
      <c r="F105" s="76"/>
      <c r="G105" s="76"/>
      <c r="H105" s="76"/>
      <c r="I105" s="76"/>
      <c r="J105" s="76"/>
      <c r="K105" s="76"/>
      <c r="L105" s="4"/>
    </row>
    <row r="106" spans="2:12" ht="16.149999999999999" customHeight="1" x14ac:dyDescent="0.25">
      <c r="B106" s="4"/>
      <c r="C106" s="76"/>
      <c r="D106" s="76"/>
      <c r="E106" s="76"/>
      <c r="F106" s="76"/>
      <c r="G106" s="76"/>
      <c r="H106" s="76"/>
      <c r="I106" s="76"/>
      <c r="J106" s="76"/>
      <c r="K106" s="76"/>
      <c r="L106" s="4"/>
    </row>
    <row r="107" spans="2:12" ht="16.149999999999999" customHeight="1" x14ac:dyDescent="0.25">
      <c r="B107" s="4"/>
      <c r="C107" s="76"/>
      <c r="D107" s="76"/>
      <c r="E107" s="76"/>
      <c r="F107" s="76"/>
      <c r="G107" s="76"/>
      <c r="H107" s="76"/>
      <c r="I107" s="76"/>
      <c r="J107" s="76"/>
      <c r="K107" s="76"/>
      <c r="L107" s="4"/>
    </row>
    <row r="108" spans="2:12" ht="16.149999999999999" customHeight="1" x14ac:dyDescent="0.25">
      <c r="B108" s="4"/>
      <c r="C108" s="76"/>
      <c r="D108" s="76"/>
      <c r="E108" s="76"/>
      <c r="F108" s="76"/>
      <c r="G108" s="76"/>
      <c r="H108" s="76"/>
      <c r="I108" s="76"/>
      <c r="J108" s="76"/>
      <c r="K108" s="76"/>
      <c r="L108" s="4"/>
    </row>
    <row r="109" spans="2:12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mergeCells count="108">
    <mergeCell ref="H54:I54"/>
    <mergeCell ref="H58:I58"/>
    <mergeCell ref="J54:L54"/>
    <mergeCell ref="J41:L41"/>
    <mergeCell ref="H52:I52"/>
    <mergeCell ref="J52:L52"/>
    <mergeCell ref="H53:I53"/>
    <mergeCell ref="J53:L53"/>
    <mergeCell ref="J50:L50"/>
    <mergeCell ref="H48:I48"/>
    <mergeCell ref="J48:L48"/>
    <mergeCell ref="H49:I49"/>
    <mergeCell ref="J49:L49"/>
    <mergeCell ref="H50:I50"/>
    <mergeCell ref="H43:I43"/>
    <mergeCell ref="H44:I44"/>
    <mergeCell ref="H45:I45"/>
    <mergeCell ref="H46:I46"/>
    <mergeCell ref="H47:I47"/>
    <mergeCell ref="J45:K45"/>
    <mergeCell ref="J46:K46"/>
    <mergeCell ref="J47:K47"/>
    <mergeCell ref="C57:D57"/>
    <mergeCell ref="C58:D58"/>
    <mergeCell ref="C55:D55"/>
    <mergeCell ref="I62:L62"/>
    <mergeCell ref="F64:H65"/>
    <mergeCell ref="F62:H62"/>
    <mergeCell ref="B62:E62"/>
    <mergeCell ref="F73:H73"/>
    <mergeCell ref="B73:E73"/>
    <mergeCell ref="J58:L58"/>
    <mergeCell ref="C56:D56"/>
    <mergeCell ref="H61:I61"/>
    <mergeCell ref="J60:L60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27:D36"/>
    <mergeCell ref="F25:L25"/>
    <mergeCell ref="E16:L16"/>
    <mergeCell ref="E20:L20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C43:D43"/>
    <mergeCell ref="J61:L61"/>
    <mergeCell ref="B60:I60"/>
    <mergeCell ref="F38:H39"/>
    <mergeCell ref="B51:I51"/>
    <mergeCell ref="J51:L51"/>
    <mergeCell ref="B59:I59"/>
    <mergeCell ref="J59:L59"/>
    <mergeCell ref="H56:I56"/>
    <mergeCell ref="J56:L56"/>
    <mergeCell ref="H57:I57"/>
    <mergeCell ref="J57:L57"/>
    <mergeCell ref="H55:I55"/>
    <mergeCell ref="J55:L55"/>
    <mergeCell ref="C44:D44"/>
    <mergeCell ref="J43:L43"/>
    <mergeCell ref="J44:L44"/>
    <mergeCell ref="C48:D48"/>
    <mergeCell ref="C49:D49"/>
    <mergeCell ref="C50:D50"/>
    <mergeCell ref="C45:D45"/>
    <mergeCell ref="C46:D46"/>
    <mergeCell ref="C47:D47"/>
    <mergeCell ref="C54:D54"/>
    <mergeCell ref="C105:K108"/>
    <mergeCell ref="B74:E76"/>
    <mergeCell ref="F84:H84"/>
    <mergeCell ref="B84:E84"/>
    <mergeCell ref="F66:H67"/>
    <mergeCell ref="C86:E87"/>
    <mergeCell ref="C89:E90"/>
    <mergeCell ref="I73:L73"/>
    <mergeCell ref="B94:E94"/>
    <mergeCell ref="F94:H94"/>
    <mergeCell ref="I94:L94"/>
    <mergeCell ref="C96:E97"/>
    <mergeCell ref="C99:E100"/>
    <mergeCell ref="F74:H76"/>
    <mergeCell ref="I74:L75"/>
    <mergeCell ref="I77:L78"/>
  </mergeCells>
  <printOptions horizontalCentered="1"/>
  <pageMargins left="0.34" right="0.24" top="0.55000000000000004" bottom="0.39370078740157483" header="0.31496062992125984" footer="0.31496062992125984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I74" sqref="I74:L7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7" t="s">
        <v>83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40" t="s">
        <v>8</v>
      </c>
      <c r="C5" s="140"/>
      <c r="D5" s="164">
        <f>'İLAVE İS TUT.'!D5</f>
        <v>46154</v>
      </c>
      <c r="E5" s="165"/>
      <c r="F5" s="166"/>
      <c r="G5" s="42"/>
      <c r="H5" s="43" t="s">
        <v>35</v>
      </c>
      <c r="I5" s="161" t="s">
        <v>65</v>
      </c>
      <c r="J5" s="162"/>
      <c r="K5" s="162"/>
      <c r="L5" s="163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40" t="s">
        <v>9</v>
      </c>
      <c r="C7" s="141"/>
      <c r="D7" s="190" t="str">
        <f>'İLAVE İS TUT.'!D7</f>
        <v>135</v>
      </c>
      <c r="E7" s="162"/>
      <c r="F7" s="163"/>
      <c r="G7" s="42"/>
      <c r="H7" s="43" t="s">
        <v>34</v>
      </c>
      <c r="I7" s="161" t="s">
        <v>80</v>
      </c>
      <c r="J7" s="162"/>
      <c r="K7" s="162"/>
      <c r="L7" s="163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40" t="s">
        <v>10</v>
      </c>
      <c r="C9" s="141"/>
      <c r="D9" s="161" t="s">
        <v>81</v>
      </c>
      <c r="E9" s="162"/>
      <c r="F9" s="163"/>
      <c r="G9" s="42"/>
      <c r="H9" s="43" t="s">
        <v>36</v>
      </c>
      <c r="I9" s="161" t="str">
        <f>'İLAVE İS TUT.'!I9</f>
        <v>C5/20.20/ŞM-84 ŞAFT</v>
      </c>
      <c r="J9" s="162"/>
      <c r="K9" s="162"/>
      <c r="L9" s="163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40"/>
      <c r="C12" s="140"/>
      <c r="D12" s="140"/>
      <c r="E12" s="126"/>
      <c r="F12" s="126"/>
      <c r="G12" s="126"/>
      <c r="H12" s="126"/>
      <c r="I12" s="126"/>
      <c r="J12" s="126"/>
      <c r="K12" s="126"/>
      <c r="L12" s="126"/>
      <c r="M12" s="1"/>
    </row>
    <row r="13" spans="2:13" x14ac:dyDescent="0.25">
      <c r="B13" s="140"/>
      <c r="C13" s="140"/>
      <c r="D13" s="140"/>
      <c r="E13" s="126"/>
      <c r="F13" s="126"/>
      <c r="G13" s="126"/>
      <c r="H13" s="126"/>
      <c r="I13" s="126"/>
      <c r="J13" s="126"/>
      <c r="K13" s="126"/>
      <c r="L13" s="126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29"/>
      <c r="C15" s="129"/>
      <c r="D15" s="129"/>
      <c r="E15" s="36"/>
      <c r="F15" s="187"/>
      <c r="G15" s="187"/>
      <c r="H15" s="187"/>
      <c r="I15" s="187"/>
      <c r="J15" s="187"/>
      <c r="K15" s="187"/>
      <c r="L15" s="187"/>
      <c r="M15" s="1"/>
    </row>
    <row r="16" spans="2:13" ht="4.1500000000000004" customHeight="1" x14ac:dyDescent="0.25">
      <c r="B16" s="129"/>
      <c r="C16" s="129"/>
      <c r="D16" s="129"/>
      <c r="E16" s="155"/>
      <c r="F16" s="155"/>
      <c r="G16" s="155"/>
      <c r="H16" s="155"/>
      <c r="I16" s="155"/>
      <c r="J16" s="155"/>
      <c r="K16" s="155"/>
      <c r="L16" s="155"/>
      <c r="M16" s="1"/>
    </row>
    <row r="17" spans="2:13" ht="25.9" customHeight="1" x14ac:dyDescent="0.25">
      <c r="B17" s="129"/>
      <c r="C17" s="129"/>
      <c r="D17" s="129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29"/>
      <c r="C18" s="129"/>
      <c r="D18" s="129"/>
      <c r="E18" s="155"/>
      <c r="F18" s="155"/>
      <c r="G18" s="155"/>
      <c r="H18" s="155"/>
      <c r="I18" s="155"/>
      <c r="J18" s="155"/>
      <c r="K18" s="155"/>
      <c r="L18" s="155"/>
      <c r="M18" s="1"/>
    </row>
    <row r="19" spans="2:13" ht="25.9" customHeight="1" x14ac:dyDescent="0.25">
      <c r="B19" s="129"/>
      <c r="C19" s="129"/>
      <c r="D19" s="129"/>
      <c r="E19" s="36"/>
      <c r="F19" s="36"/>
      <c r="G19" s="36"/>
      <c r="H19" s="36"/>
      <c r="I19" s="155"/>
      <c r="J19" s="155"/>
      <c r="K19" s="155"/>
      <c r="L19" s="36"/>
      <c r="M19" s="1"/>
    </row>
    <row r="20" spans="2:13" ht="4.1500000000000004" customHeight="1" x14ac:dyDescent="0.25">
      <c r="B20" s="129"/>
      <c r="C20" s="129"/>
      <c r="D20" s="129"/>
      <c r="E20" s="155"/>
      <c r="F20" s="155"/>
      <c r="G20" s="155"/>
      <c r="H20" s="155"/>
      <c r="I20" s="155"/>
      <c r="J20" s="155"/>
      <c r="K20" s="155"/>
      <c r="L20" s="155"/>
      <c r="M20" s="1"/>
    </row>
    <row r="21" spans="2:13" ht="25.9" customHeight="1" x14ac:dyDescent="0.25">
      <c r="B21" s="129"/>
      <c r="C21" s="129"/>
      <c r="D21" s="129"/>
      <c r="E21" s="36"/>
      <c r="F21" s="36"/>
      <c r="G21" s="36"/>
      <c r="H21" s="36"/>
      <c r="I21" s="155"/>
      <c r="J21" s="155"/>
      <c r="K21" s="155"/>
      <c r="L21" s="36"/>
      <c r="M21" s="1"/>
    </row>
    <row r="22" spans="2:13" ht="4.1500000000000004" customHeight="1" x14ac:dyDescent="0.25">
      <c r="B22" s="129"/>
      <c r="C22" s="129"/>
      <c r="D22" s="129"/>
      <c r="E22" s="155"/>
      <c r="F22" s="155"/>
      <c r="G22" s="155"/>
      <c r="H22" s="155"/>
      <c r="I22" s="155"/>
      <c r="J22" s="155"/>
      <c r="K22" s="155"/>
      <c r="L22" s="155"/>
      <c r="M22" s="1"/>
    </row>
    <row r="23" spans="2:13" ht="25.9" customHeight="1" x14ac:dyDescent="0.25">
      <c r="B23" s="129"/>
      <c r="C23" s="129"/>
      <c r="D23" s="129"/>
      <c r="E23" s="36"/>
      <c r="F23" s="126"/>
      <c r="G23" s="126"/>
      <c r="H23" s="126"/>
      <c r="I23" s="155"/>
      <c r="J23" s="155"/>
      <c r="K23" s="155"/>
      <c r="L23" s="36"/>
      <c r="M23" s="1"/>
    </row>
    <row r="24" spans="2:13" ht="4.1500000000000004" customHeight="1" x14ac:dyDescent="0.25">
      <c r="B24" s="129"/>
      <c r="C24" s="129"/>
      <c r="D24" s="129"/>
      <c r="E24" s="155"/>
      <c r="F24" s="155"/>
      <c r="G24" s="155"/>
      <c r="H24" s="155"/>
      <c r="I24" s="155"/>
      <c r="J24" s="155"/>
      <c r="K24" s="155"/>
      <c r="L24" s="155"/>
      <c r="M24" s="1"/>
    </row>
    <row r="25" spans="2:13" ht="25.9" customHeight="1" x14ac:dyDescent="0.25">
      <c r="B25" s="129"/>
      <c r="C25" s="129"/>
      <c r="D25" s="129"/>
      <c r="E25" s="36"/>
      <c r="F25" s="187"/>
      <c r="G25" s="187"/>
      <c r="H25" s="187"/>
      <c r="I25" s="187"/>
      <c r="J25" s="187"/>
      <c r="K25" s="187"/>
      <c r="L25" s="187"/>
      <c r="M25" s="1"/>
    </row>
    <row r="26" spans="2:13" ht="10.9" customHeight="1" x14ac:dyDescent="0.25">
      <c r="B26" s="33"/>
      <c r="C26" s="33"/>
      <c r="D26" s="33"/>
      <c r="E26" s="155"/>
      <c r="F26" s="155"/>
      <c r="G26" s="155"/>
      <c r="H26" s="155"/>
      <c r="I26" s="155"/>
      <c r="J26" s="155"/>
      <c r="K26" s="155"/>
      <c r="L26" s="155"/>
      <c r="M26" s="1"/>
    </row>
    <row r="27" spans="2:13" x14ac:dyDescent="0.25">
      <c r="B27" s="129"/>
      <c r="C27" s="129"/>
      <c r="D27" s="129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29"/>
      <c r="C28" s="129"/>
      <c r="D28" s="129"/>
      <c r="E28" s="126"/>
      <c r="F28" s="126"/>
      <c r="G28" s="126"/>
      <c r="H28" s="126"/>
      <c r="I28" s="126"/>
      <c r="J28" s="126"/>
      <c r="K28" s="126"/>
      <c r="L28" s="126"/>
      <c r="M28" s="1"/>
    </row>
    <row r="29" spans="2:13" x14ac:dyDescent="0.25">
      <c r="B29" s="129"/>
      <c r="C29" s="129"/>
      <c r="D29" s="129"/>
      <c r="E29" s="126"/>
      <c r="F29" s="126"/>
      <c r="G29" s="126"/>
      <c r="H29" s="126"/>
      <c r="I29" s="126"/>
      <c r="J29" s="126"/>
      <c r="K29" s="126"/>
      <c r="L29" s="126"/>
      <c r="M29" s="1"/>
    </row>
    <row r="30" spans="2:13" x14ac:dyDescent="0.25">
      <c r="B30" s="129"/>
      <c r="C30" s="129"/>
      <c r="D30" s="129"/>
      <c r="E30" s="126"/>
      <c r="F30" s="126"/>
      <c r="G30" s="126"/>
      <c r="H30" s="126"/>
      <c r="I30" s="126"/>
      <c r="J30" s="126"/>
      <c r="K30" s="126"/>
      <c r="L30" s="126"/>
      <c r="M30" s="1"/>
    </row>
    <row r="31" spans="2:13" x14ac:dyDescent="0.25">
      <c r="B31" s="129"/>
      <c r="C31" s="129"/>
      <c r="D31" s="129"/>
      <c r="E31" s="126"/>
      <c r="F31" s="126"/>
      <c r="G31" s="126"/>
      <c r="H31" s="126"/>
      <c r="I31" s="126"/>
      <c r="J31" s="126"/>
      <c r="K31" s="126"/>
      <c r="L31" s="126"/>
      <c r="M31" s="1"/>
    </row>
    <row r="32" spans="2:13" x14ac:dyDescent="0.25">
      <c r="B32" s="129"/>
      <c r="C32" s="129"/>
      <c r="D32" s="129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29"/>
      <c r="C33" s="129"/>
      <c r="D33" s="129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29"/>
      <c r="C34" s="129"/>
      <c r="D34" s="129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29"/>
      <c r="C35" s="129"/>
      <c r="D35" s="129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29"/>
      <c r="C36" s="129"/>
      <c r="D36" s="129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8"/>
      <c r="C38" s="188"/>
      <c r="D38" s="189"/>
      <c r="E38" s="189"/>
      <c r="F38" s="189"/>
      <c r="G38" s="189"/>
      <c r="H38" s="189"/>
      <c r="I38" s="189"/>
      <c r="J38" s="189"/>
      <c r="K38" s="189"/>
      <c r="L38" s="189"/>
      <c r="M38" s="1"/>
    </row>
    <row r="39" spans="2:13" x14ac:dyDescent="0.25">
      <c r="B39" s="188"/>
      <c r="C39" s="188"/>
      <c r="D39" s="189"/>
      <c r="E39" s="189"/>
      <c r="F39" s="189"/>
      <c r="G39" s="189"/>
      <c r="H39" s="189"/>
      <c r="I39" s="189"/>
      <c r="J39" s="189"/>
      <c r="K39" s="189"/>
      <c r="L39" s="18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5"/>
      <c r="I41" s="185"/>
      <c r="J41" s="185"/>
      <c r="K41" s="185"/>
      <c r="L41" s="185"/>
    </row>
    <row r="42" spans="2:13" ht="25.15" customHeight="1" x14ac:dyDescent="0.25">
      <c r="B42" s="71"/>
      <c r="C42" s="63"/>
      <c r="D42" s="71"/>
      <c r="E42" s="71"/>
      <c r="F42" s="71"/>
      <c r="G42" s="71"/>
      <c r="H42" s="185"/>
      <c r="I42" s="185"/>
      <c r="J42" s="185"/>
      <c r="K42" s="185"/>
      <c r="L42" s="185"/>
    </row>
    <row r="43" spans="2:13" ht="25.15" customHeight="1" x14ac:dyDescent="0.25">
      <c r="B43" s="64"/>
      <c r="C43" s="180"/>
      <c r="D43" s="180"/>
      <c r="E43" s="65"/>
      <c r="F43" s="72"/>
      <c r="G43" s="72"/>
      <c r="H43" s="186"/>
      <c r="I43" s="186"/>
      <c r="J43" s="181"/>
      <c r="K43" s="180"/>
      <c r="L43" s="180"/>
    </row>
    <row r="44" spans="2:13" ht="25.15" customHeight="1" x14ac:dyDescent="0.25">
      <c r="B44" s="64"/>
      <c r="C44" s="180"/>
      <c r="D44" s="180"/>
      <c r="E44" s="66"/>
      <c r="F44" s="72"/>
      <c r="G44" s="72"/>
      <c r="H44" s="186"/>
      <c r="I44" s="186"/>
      <c r="J44" s="181"/>
      <c r="K44" s="180"/>
      <c r="L44" s="180"/>
    </row>
    <row r="45" spans="2:13" ht="25.15" customHeight="1" x14ac:dyDescent="0.25">
      <c r="B45" s="64"/>
      <c r="C45" s="180"/>
      <c r="D45" s="180"/>
      <c r="E45" s="66"/>
      <c r="F45" s="72"/>
      <c r="G45" s="72"/>
      <c r="H45" s="186"/>
      <c r="I45" s="186"/>
      <c r="J45" s="181"/>
      <c r="K45" s="180"/>
      <c r="L45" s="180"/>
    </row>
    <row r="46" spans="2:13" ht="25.15" customHeight="1" x14ac:dyDescent="0.25">
      <c r="B46" s="64"/>
      <c r="C46" s="180"/>
      <c r="D46" s="180"/>
      <c r="E46" s="67"/>
      <c r="F46" s="72"/>
      <c r="G46" s="72"/>
      <c r="H46" s="181"/>
      <c r="I46" s="180"/>
      <c r="J46" s="181"/>
      <c r="K46" s="180"/>
      <c r="L46" s="180"/>
    </row>
    <row r="47" spans="2:13" ht="25.15" customHeight="1" x14ac:dyDescent="0.25">
      <c r="B47" s="64"/>
      <c r="C47" s="180"/>
      <c r="D47" s="180"/>
      <c r="E47" s="66"/>
      <c r="F47" s="72"/>
      <c r="G47" s="72"/>
      <c r="H47" s="181"/>
      <c r="I47" s="180"/>
      <c r="J47" s="181"/>
      <c r="K47" s="180"/>
      <c r="L47" s="180"/>
    </row>
    <row r="48" spans="2:13" ht="25.15" customHeight="1" x14ac:dyDescent="0.25">
      <c r="B48" s="182"/>
      <c r="C48" s="182"/>
      <c r="D48" s="182"/>
      <c r="E48" s="182"/>
      <c r="F48" s="182"/>
      <c r="G48" s="182"/>
      <c r="H48" s="182"/>
      <c r="I48" s="182"/>
      <c r="J48" s="183"/>
      <c r="K48" s="183"/>
      <c r="L48" s="183"/>
    </row>
    <row r="49" spans="2:12" ht="25.15" customHeight="1" x14ac:dyDescent="0.25">
      <c r="B49" s="71"/>
      <c r="C49" s="63"/>
      <c r="D49" s="71"/>
      <c r="E49" s="71"/>
      <c r="F49" s="71"/>
      <c r="G49" s="71"/>
      <c r="H49" s="185"/>
      <c r="I49" s="185"/>
      <c r="J49" s="185"/>
      <c r="K49" s="185"/>
      <c r="L49" s="185"/>
    </row>
    <row r="50" spans="2:12" ht="25.15" customHeight="1" x14ac:dyDescent="0.25">
      <c r="B50" s="71"/>
      <c r="C50" s="63"/>
      <c r="D50" s="71"/>
      <c r="E50" s="71"/>
      <c r="F50" s="71"/>
      <c r="G50" s="71"/>
      <c r="H50" s="185"/>
      <c r="I50" s="185"/>
      <c r="J50" s="185"/>
      <c r="K50" s="185"/>
      <c r="L50" s="185"/>
    </row>
    <row r="51" spans="2:12" ht="25.15" customHeight="1" x14ac:dyDescent="0.25">
      <c r="B51" s="64"/>
      <c r="C51" s="180"/>
      <c r="D51" s="180"/>
      <c r="E51" s="66"/>
      <c r="F51" s="72"/>
      <c r="G51" s="72"/>
      <c r="H51" s="181"/>
      <c r="I51" s="180"/>
      <c r="J51" s="181"/>
      <c r="K51" s="180"/>
      <c r="L51" s="180"/>
    </row>
    <row r="52" spans="2:12" ht="25.15" customHeight="1" x14ac:dyDescent="0.25">
      <c r="B52" s="64"/>
      <c r="C52" s="180"/>
      <c r="D52" s="180"/>
      <c r="E52" s="66"/>
      <c r="F52" s="72"/>
      <c r="G52" s="72"/>
      <c r="H52" s="181"/>
      <c r="I52" s="180"/>
      <c r="J52" s="181"/>
      <c r="K52" s="180"/>
      <c r="L52" s="180"/>
    </row>
    <row r="53" spans="2:12" ht="25.15" customHeight="1" x14ac:dyDescent="0.25">
      <c r="B53" s="64"/>
      <c r="C53" s="180"/>
      <c r="D53" s="180"/>
      <c r="E53" s="66"/>
      <c r="F53" s="72"/>
      <c r="G53" s="72"/>
      <c r="H53" s="181"/>
      <c r="I53" s="180"/>
      <c r="J53" s="181"/>
      <c r="K53" s="180"/>
      <c r="L53" s="180"/>
    </row>
    <row r="54" spans="2:12" ht="25.15" customHeight="1" x14ac:dyDescent="0.25">
      <c r="B54" s="64"/>
      <c r="C54" s="180"/>
      <c r="D54" s="180"/>
      <c r="E54" s="66"/>
      <c r="F54" s="72"/>
      <c r="G54" s="72"/>
      <c r="H54" s="181"/>
      <c r="I54" s="180"/>
      <c r="J54" s="181"/>
      <c r="K54" s="180"/>
      <c r="L54" s="180"/>
    </row>
    <row r="55" spans="2:12" ht="25.15" customHeight="1" x14ac:dyDescent="0.25">
      <c r="B55" s="64"/>
      <c r="C55" s="180"/>
      <c r="D55" s="180"/>
      <c r="E55" s="66"/>
      <c r="F55" s="72"/>
      <c r="G55" s="72"/>
      <c r="H55" s="181"/>
      <c r="I55" s="180"/>
      <c r="J55" s="181"/>
      <c r="K55" s="180"/>
      <c r="L55" s="180"/>
    </row>
    <row r="56" spans="2:12" ht="25.15" customHeight="1" x14ac:dyDescent="0.25">
      <c r="B56" s="182"/>
      <c r="C56" s="182"/>
      <c r="D56" s="182"/>
      <c r="E56" s="182"/>
      <c r="F56" s="182"/>
      <c r="G56" s="182"/>
      <c r="H56" s="182"/>
      <c r="I56" s="182"/>
      <c r="J56" s="183"/>
      <c r="K56" s="183"/>
      <c r="L56" s="183"/>
    </row>
    <row r="57" spans="2:12" ht="25.15" customHeight="1" x14ac:dyDescent="0.25">
      <c r="B57" s="182"/>
      <c r="C57" s="182"/>
      <c r="D57" s="182"/>
      <c r="E57" s="182"/>
      <c r="F57" s="182"/>
      <c r="G57" s="182"/>
      <c r="H57" s="182"/>
      <c r="I57" s="182"/>
      <c r="J57" s="183"/>
      <c r="K57" s="183"/>
      <c r="L57" s="183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4"/>
      <c r="I58" s="184"/>
      <c r="J58" s="181"/>
      <c r="K58" s="180"/>
      <c r="L58" s="180"/>
    </row>
    <row r="59" spans="2:12" ht="21" customHeight="1" x14ac:dyDescent="0.25"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5"/>
      <c r="G61" s="176"/>
      <c r="H61" s="176"/>
      <c r="I61"/>
      <c r="J61"/>
      <c r="K61"/>
      <c r="L61"/>
    </row>
    <row r="62" spans="2:12" x14ac:dyDescent="0.25">
      <c r="F62" s="176"/>
      <c r="G62" s="176"/>
      <c r="H62" s="176"/>
    </row>
    <row r="63" spans="2:12" ht="15" customHeight="1" x14ac:dyDescent="0.25">
      <c r="F63" s="175"/>
      <c r="G63" s="176"/>
      <c r="H63" s="176"/>
    </row>
    <row r="64" spans="2:12" x14ac:dyDescent="0.25">
      <c r="F64" s="176"/>
      <c r="G64" s="176"/>
      <c r="H64" s="176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</row>
    <row r="71" spans="2:12" ht="19.899999999999999" customHeight="1" x14ac:dyDescent="0.25">
      <c r="B71" s="177"/>
      <c r="C71" s="177"/>
      <c r="D71" s="177"/>
      <c r="E71" s="177"/>
      <c r="F71" s="178"/>
      <c r="G71" s="178"/>
      <c r="H71" s="178"/>
      <c r="I71" s="179"/>
      <c r="J71" s="179"/>
      <c r="K71" s="179"/>
      <c r="L71" s="179"/>
    </row>
    <row r="72" spans="2:12" ht="19.899999999999999" customHeight="1" x14ac:dyDescent="0.25">
      <c r="B72" s="177"/>
      <c r="C72" s="177"/>
      <c r="D72" s="177"/>
      <c r="E72" s="177"/>
      <c r="F72" s="178"/>
      <c r="G72" s="178"/>
      <c r="H72" s="178"/>
      <c r="I72" s="179"/>
      <c r="J72" s="179"/>
      <c r="K72" s="179"/>
      <c r="L72" s="179"/>
    </row>
    <row r="73" spans="2:12" ht="19.899999999999999" customHeight="1" x14ac:dyDescent="0.25">
      <c r="B73" s="177"/>
      <c r="C73" s="177"/>
      <c r="D73" s="177"/>
      <c r="E73" s="177"/>
      <c r="F73" s="178"/>
      <c r="G73" s="178"/>
      <c r="H73" s="178"/>
    </row>
    <row r="74" spans="2:12" ht="14.45" customHeight="1" x14ac:dyDescent="0.25">
      <c r="I74" s="173"/>
      <c r="J74" s="173"/>
      <c r="K74" s="173"/>
      <c r="L74" s="173"/>
    </row>
    <row r="75" spans="2:12" ht="14.65" customHeight="1" x14ac:dyDescent="0.25">
      <c r="F75" s="68"/>
      <c r="G75" s="68"/>
      <c r="H75" s="68"/>
      <c r="I75" s="173"/>
      <c r="J75" s="173"/>
      <c r="K75" s="173"/>
      <c r="L75" s="173"/>
    </row>
    <row r="76" spans="2:12" x14ac:dyDescent="0.25">
      <c r="F76" s="68"/>
      <c r="G76" s="68"/>
      <c r="H76" s="68"/>
    </row>
    <row r="81" spans="2:12" ht="21" customHeight="1" x14ac:dyDescent="0.25">
      <c r="B81" s="174"/>
      <c r="C81" s="174"/>
      <c r="D81" s="174"/>
      <c r="E81" s="174"/>
      <c r="F81" s="174"/>
      <c r="G81" s="174"/>
      <c r="H81" s="17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1"/>
      <c r="D83" s="171"/>
      <c r="E83" s="171"/>
      <c r="F83" s="68"/>
      <c r="G83" s="68"/>
      <c r="H83" s="68"/>
    </row>
    <row r="84" spans="2:12" x14ac:dyDescent="0.25">
      <c r="C84" s="171"/>
      <c r="D84" s="171"/>
      <c r="E84" s="171"/>
      <c r="F84" s="68"/>
      <c r="G84" s="68"/>
      <c r="H84" s="68"/>
    </row>
    <row r="86" spans="2:12" ht="14.65" customHeight="1" x14ac:dyDescent="0.25">
      <c r="C86" s="171"/>
      <c r="D86" s="171"/>
      <c r="E86" s="171"/>
      <c r="F86" s="68"/>
      <c r="G86" s="68"/>
      <c r="H86" s="68"/>
    </row>
    <row r="87" spans="2:12" x14ac:dyDescent="0.25">
      <c r="C87" s="171"/>
      <c r="D87" s="171"/>
      <c r="E87" s="171"/>
      <c r="F87" s="68"/>
      <c r="G87" s="68"/>
      <c r="H87" s="68"/>
    </row>
    <row r="91" spans="2:12" ht="21" customHeight="1" x14ac:dyDescent="0.25"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1"/>
      <c r="D93" s="171"/>
      <c r="E93" s="171"/>
      <c r="F93" s="68"/>
      <c r="G93" s="68"/>
      <c r="H93" s="68"/>
    </row>
    <row r="94" spans="2:12" x14ac:dyDescent="0.25">
      <c r="C94" s="171"/>
      <c r="D94" s="171"/>
      <c r="E94" s="171"/>
      <c r="F94" s="68"/>
      <c r="G94" s="68"/>
      <c r="H94" s="68"/>
    </row>
    <row r="96" spans="2:12" ht="14.65" customHeight="1" x14ac:dyDescent="0.25">
      <c r="C96" s="171"/>
      <c r="D96" s="171"/>
      <c r="E96" s="171"/>
      <c r="F96" s="68"/>
      <c r="G96" s="68"/>
      <c r="H96" s="68"/>
    </row>
    <row r="97" spans="3:11" x14ac:dyDescent="0.25">
      <c r="C97" s="171"/>
      <c r="D97" s="171"/>
      <c r="E97" s="171"/>
      <c r="F97" s="68"/>
      <c r="G97" s="68"/>
      <c r="H97" s="68"/>
    </row>
    <row r="102" spans="3:11" ht="16.149999999999999" customHeight="1" x14ac:dyDescent="0.25">
      <c r="C102" s="172"/>
      <c r="D102" s="172"/>
      <c r="E102" s="172"/>
      <c r="F102" s="172"/>
      <c r="G102" s="172"/>
      <c r="H102" s="172"/>
      <c r="I102" s="172"/>
      <c r="J102" s="172"/>
      <c r="K102" s="172"/>
    </row>
    <row r="103" spans="3:11" ht="16.149999999999999" customHeight="1" x14ac:dyDescent="0.25">
      <c r="C103" s="172"/>
      <c r="D103" s="172"/>
      <c r="E103" s="172"/>
      <c r="F103" s="172"/>
      <c r="G103" s="172"/>
      <c r="H103" s="172"/>
      <c r="I103" s="172"/>
      <c r="J103" s="172"/>
      <c r="K103" s="172"/>
    </row>
    <row r="104" spans="3:11" ht="16.149999999999999" customHeight="1" x14ac:dyDescent="0.25">
      <c r="C104" s="172"/>
      <c r="D104" s="172"/>
      <c r="E104" s="172"/>
      <c r="F104" s="172"/>
      <c r="G104" s="172"/>
      <c r="H104" s="172"/>
      <c r="I104" s="172"/>
      <c r="J104" s="172"/>
      <c r="K104" s="172"/>
    </row>
    <row r="105" spans="3:11" ht="16.149999999999999" customHeight="1" x14ac:dyDescent="0.25">
      <c r="C105" s="172"/>
      <c r="D105" s="172"/>
      <c r="E105" s="172"/>
      <c r="F105" s="172"/>
      <c r="G105" s="172"/>
      <c r="H105" s="172"/>
      <c r="I105" s="172"/>
      <c r="J105" s="172"/>
      <c r="K105" s="172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2026-06-12T08:43:01Z</cp:lastPrinted>
  <dcterms:created xsi:type="dcterms:W3CDTF">2014-05-26T07:40:11Z</dcterms:created>
  <dcterms:modified xsi:type="dcterms:W3CDTF">2026-06-12T08:43:04Z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