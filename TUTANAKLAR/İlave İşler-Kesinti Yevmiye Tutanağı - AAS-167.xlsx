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6747917-81E4-4B91-A028-B6B3FFB01E56}" xr6:coauthVersionLast="47" xr6:coauthVersionMax="47" xr10:uidLastSave="{00000000-0000-0000-0000-000000000000}"/>
  <bookViews>
    <workbookView xWindow="30840" yWindow="18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E52" i="1"/>
  <c r="E48" i="1"/>
  <c r="J48" i="1"/>
  <c r="E49" i="1"/>
  <c r="J49" i="1"/>
  <c r="E50" i="1"/>
  <c r="J50" i="1"/>
  <c r="E51" i="1"/>
  <c r="J51" i="1"/>
  <c r="J46" i="1" l="1"/>
  <c r="J47" i="1"/>
  <c r="E56" i="1"/>
  <c r="E44" i="1"/>
  <c r="E45" i="1"/>
  <c r="E46" i="1"/>
  <c r="E47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<sst xmlns="http://schemas.openxmlformats.org/spreadsheetml/2006/main" count="126" uniqueCount="100">
  <si>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</si>
  <si>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</si>
  <si>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</si>
  <si>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</si>
  <si>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</si>
  <si>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</si>
  <si>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</si>
  <si>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</si>
  <si>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</si>
  <si>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</si>
  <si>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</si>
  <si>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</si>
  <si>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</si>
  <si>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</si>
  <si>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</si>
  <si>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</si>
  <si>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</si>
  <si>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</si>
  <si>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</si>
  <si>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</si>
  <si>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</si>
  <si>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</si>
  <si>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</si>
  <si>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</si>
  <si>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</si>
  <si>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</si>
  <si>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</si>
  <si>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</si>
  <si>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</si>
  <si>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</si>
  <si>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</si>
  <si>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</si>
  <si>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</si>
  <si>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</si>
  <si>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</si>
  <si>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</si>
  <si>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</si>
  <si>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</si>
  <si>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</si>
  <si>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</si>
  <si>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</si>
  <si>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</si>
  <si>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</si>
  <si>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</si>
  <si>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</si>
  <si>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</si>
  <si>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</si>
  <si>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</si>
  <si>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</si>
  <si>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</si>
  <si>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</si>
  <si>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</si>
  <si>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</si>
  <si>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</si>
  <si>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</si>
  <si>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</si>
  <si>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</si>
  <si>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</si>
  <si>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</si>
  <si>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</si>
  <si>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</si>
  <si>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</si>
  <si>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</si>
  <si>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</si>
  <si>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</si>
  <si>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</si>
  <si>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</si>
  <si>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</si>
  <si>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</si>
  <si>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</si>
  <si>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</si>
  <si>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</si>
  <si>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</si>
  <si>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</si>
  <si>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</si>
  <si>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</si>
  <si>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</si>
  <si>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</si>
  <si>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</si>
  <si>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</si>
  <si>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</si>
  <si>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</si>
  <si>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</si>
  <si>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</si>
  <si>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</si>
  <si>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</si>
  <si>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</si>
  <si>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İBRAHİM MENCİK(USTA)</t>
  </si>
  <si>
    <t>MUSTAFA ÇALAĞAN(USTA YARDIMCISI)</t>
  </si>
  <si>
    <t>ORHAN MENCİK(USTA YARDIMCISI)</t>
  </si>
  <si>
    <t>ERCAN MENCİK(USTA)</t>
  </si>
  <si>
    <t>ZAFER HEJA MENCİK(USTA YARDIMCISI)</t>
  </si>
  <si>
    <t>MEHMET ŞİRİN TÜRK(USTA YARDIMCISI)</t>
  </si>
  <si>
    <t>YILMAZ ARSLAN(USTA)</t>
  </si>
  <si>
    <t>EYYÜP BASMACI(USTA)</t>
  </si>
  <si>
    <t>167</t>
  </si>
  <si>
    <t>C3/ 5.20</t>
  </si>
  <si>
    <t>C3 Blok 5.20 kotu cephe doğramaları takılırken alçıpan duvarlar hasar görmüştür. Hasar gören alçıpanlar sökülüp düzeltilmiştir.</t>
  </si>
  <si>
    <t>NUSRET TANŞU(USTA)</t>
  </si>
  <si>
    <t>KADİR ÜSTÜNER(USTA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</si>
</sst>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46196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95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96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97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6"/>
      <c r="I41" s="96"/>
      <c r="J41" s="96"/>
      <c r="K41" s="96"/>
      <c r="L41" s="9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7" t="s">
        <v>4</v>
      </c>
      <c r="I42" s="77"/>
      <c r="J42" s="77" t="s">
        <v>5</v>
      </c>
      <c r="K42" s="77"/>
      <c r="L42" s="78"/>
    </row>
    <row r="43" spans="2:13" ht="25.15" customHeight="1" x14ac:dyDescent="0.25">
      <c r="B43" s="2">
        <v>1</v>
      </c>
      <c r="C43" s="98" t="s">
        <v>93</v>
      </c>
      <c r="D43" s="99"/>
      <c r="E43" s="59">
        <f>+$D$5</f>
        <v>46196</v>
      </c>
      <c r="F43" s="75" t="s">
        <v>82</v>
      </c>
      <c r="G43" s="75">
        <v>1</v>
      </c>
      <c r="H43" s="95">
        <v>4126.4799999999996</v>
      </c>
      <c r="I43" s="95"/>
      <c r="J43" s="93">
        <f>+H43*G43</f>
        <v>4126.4799999999996</v>
      </c>
      <c r="K43" s="93"/>
      <c r="L43" s="94"/>
    </row>
    <row r="44" spans="2:13" ht="25.15" customHeight="1" x14ac:dyDescent="0.25">
      <c r="B44" s="2">
        <v>2</v>
      </c>
      <c r="C44" s="98" t="s">
        <v>87</v>
      </c>
      <c r="D44" s="99"/>
      <c r="E44" s="73">
        <f t="shared" ref="E44:E52" si="0">+$D$5</f>
        <v>46196</v>
      </c>
      <c r="F44" s="75" t="s">
        <v>82</v>
      </c>
      <c r="G44" s="75">
        <v>1</v>
      </c>
      <c r="H44" s="95">
        <v>4126.4799999999996</v>
      </c>
      <c r="I44" s="95"/>
      <c r="J44" s="93">
        <f t="shared" ref="J44:J60" si="1">+H44*G44</f>
        <v>4126.4799999999996</v>
      </c>
      <c r="K44" s="93"/>
      <c r="L44" s="94"/>
    </row>
    <row r="45" spans="2:13" ht="25.15" customHeight="1" x14ac:dyDescent="0.25">
      <c r="B45" s="2">
        <v>3</v>
      </c>
      <c r="C45" s="98" t="s">
        <v>90</v>
      </c>
      <c r="D45" s="99"/>
      <c r="E45" s="73">
        <f t="shared" si="0"/>
        <v>46196</v>
      </c>
      <c r="F45" s="74" t="s">
        <v>82</v>
      </c>
      <c r="G45" s="74">
        <v>1</v>
      </c>
      <c r="H45" s="95">
        <v>4126.4799999999996</v>
      </c>
      <c r="I45" s="95"/>
      <c r="J45" s="93">
        <f t="shared" si="1"/>
        <v>4126.4799999999996</v>
      </c>
      <c r="K45" s="93"/>
      <c r="L45" s="94"/>
    </row>
    <row r="46" spans="2:13" ht="25.15" customHeight="1" x14ac:dyDescent="0.25">
      <c r="B46" s="2">
        <v>4</v>
      </c>
      <c r="C46" s="98" t="s">
        <v>94</v>
      </c>
      <c r="D46" s="99"/>
      <c r="E46" s="73">
        <f t="shared" si="0"/>
        <v>46196</v>
      </c>
      <c r="F46" s="74" t="s">
        <v>82</v>
      </c>
      <c r="G46" s="74">
        <v>1</v>
      </c>
      <c r="H46" s="95">
        <v>4126.4799999999996</v>
      </c>
      <c r="I46" s="95"/>
      <c r="J46" s="93">
        <f t="shared" ref="J46:J50" si="2">+H46*G46</f>
        <v>4126.4799999999996</v>
      </c>
      <c r="K46" s="93"/>
      <c r="L46" s="94"/>
    </row>
    <row r="47" spans="2:13" ht="25.15" customHeight="1" x14ac:dyDescent="0.25">
      <c r="B47" s="2">
        <v>5</v>
      </c>
      <c r="C47" s="98" t="s">
        <v>98</v>
      </c>
      <c r="D47" s="99"/>
      <c r="E47" s="73">
        <f t="shared" si="0"/>
        <v>46196</v>
      </c>
      <c r="F47" s="74" t="s">
        <v>82</v>
      </c>
      <c r="G47" s="74">
        <v>1</v>
      </c>
      <c r="H47" s="95">
        <v>4126.4799999999996</v>
      </c>
      <c r="I47" s="95"/>
      <c r="J47" s="93">
        <f t="shared" si="2"/>
        <v>4126.4799999999996</v>
      </c>
      <c r="K47" s="93"/>
      <c r="L47" s="94"/>
    </row>
    <row r="48" spans="2:13" ht="25.15" customHeight="1" x14ac:dyDescent="0.25">
      <c r="B48" s="2">
        <v>6</v>
      </c>
      <c r="C48" s="100" t="s">
        <v>88</v>
      </c>
      <c r="D48" s="101"/>
      <c r="E48" s="73">
        <f t="shared" si="0"/>
        <v>46196</v>
      </c>
      <c r="F48" s="76" t="s">
        <v>82</v>
      </c>
      <c r="G48" s="76">
        <v>1</v>
      </c>
      <c r="H48" s="95">
        <v>2851.48</v>
      </c>
      <c r="I48" s="95"/>
      <c r="J48" s="93">
        <f t="shared" si="1"/>
        <v>2851.48</v>
      </c>
      <c r="K48" s="93"/>
      <c r="L48" s="94"/>
    </row>
    <row r="49" spans="2:12" ht="25.15" customHeight="1" x14ac:dyDescent="0.25">
      <c r="B49" s="2">
        <v>7</v>
      </c>
      <c r="C49" s="100" t="s">
        <v>89</v>
      </c>
      <c r="D49" s="101"/>
      <c r="E49" s="73">
        <f t="shared" si="0"/>
        <v>46196</v>
      </c>
      <c r="F49" s="76" t="s">
        <v>82</v>
      </c>
      <c r="G49" s="76">
        <v>1</v>
      </c>
      <c r="H49" s="95">
        <v>2851.48</v>
      </c>
      <c r="I49" s="95"/>
      <c r="J49" s="93">
        <f t="shared" si="1"/>
        <v>2851.48</v>
      </c>
      <c r="K49" s="93"/>
      <c r="L49" s="94"/>
    </row>
    <row r="50" spans="2:12" ht="25.15" customHeight="1" x14ac:dyDescent="0.25">
      <c r="B50" s="2">
        <v>8</v>
      </c>
      <c r="C50" s="100" t="s">
        <v>91</v>
      </c>
      <c r="D50" s="101"/>
      <c r="E50" s="73">
        <f t="shared" si="0"/>
        <v>46196</v>
      </c>
      <c r="F50" s="76" t="s">
        <v>82</v>
      </c>
      <c r="G50" s="76">
        <v>1</v>
      </c>
      <c r="H50" s="95">
        <v>2851.48</v>
      </c>
      <c r="I50" s="95"/>
      <c r="J50" s="93">
        <f t="shared" si="1"/>
        <v>2851.48</v>
      </c>
      <c r="K50" s="93"/>
      <c r="L50" s="94"/>
    </row>
    <row r="51" spans="2:12" ht="25.15" customHeight="1" x14ac:dyDescent="0.25">
      <c r="B51" s="2">
        <v>9</v>
      </c>
      <c r="C51" s="100" t="s">
        <v>92</v>
      </c>
      <c r="D51" s="101"/>
      <c r="E51" s="73">
        <f t="shared" si="0"/>
        <v>46196</v>
      </c>
      <c r="F51" s="76" t="s">
        <v>82</v>
      </c>
      <c r="G51" s="76">
        <v>1</v>
      </c>
      <c r="H51" s="95">
        <v>2851.48</v>
      </c>
      <c r="I51" s="95"/>
      <c r="J51" s="93">
        <f t="shared" si="1"/>
        <v>2851.48</v>
      </c>
      <c r="K51" s="93"/>
      <c r="L51" s="94"/>
    </row>
    <row r="52" spans="2:12" ht="25.15" customHeight="1" thickBot="1" x14ac:dyDescent="0.3">
      <c r="B52" s="2">
        <v>10</v>
      </c>
      <c r="C52" s="100" t="s">
        <v>99</v>
      </c>
      <c r="D52" s="101"/>
      <c r="E52" s="73">
        <f t="shared" si="0"/>
        <v>46196</v>
      </c>
      <c r="F52" s="76" t="s">
        <v>82</v>
      </c>
      <c r="G52" s="76">
        <v>1</v>
      </c>
      <c r="H52" s="95">
        <v>2851.48</v>
      </c>
      <c r="I52" s="95"/>
      <c r="J52" s="93">
        <f t="shared" ref="J52" si="3">+H52*G52</f>
        <v>2851.48</v>
      </c>
      <c r="K52" s="93"/>
      <c r="L52" s="94"/>
    </row>
    <row r="53" spans="2:12" ht="25.15" customHeight="1" thickBot="1" x14ac:dyDescent="0.3">
      <c r="B53" s="91" t="s">
        <v>74</v>
      </c>
      <c r="C53" s="91"/>
      <c r="D53" s="91"/>
      <c r="E53" s="91"/>
      <c r="F53" s="91"/>
      <c r="G53" s="91"/>
      <c r="H53" s="91"/>
      <c r="I53" s="91"/>
      <c r="J53" s="86">
        <f>+SUM(J43:L52)</f>
        <v>34889.799999999996</v>
      </c>
      <c r="K53" s="87"/>
      <c r="L53" s="8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6"/>
      <c r="I54" s="96"/>
      <c r="J54" s="96"/>
      <c r="K54" s="96"/>
      <c r="L54" s="9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7" t="s">
        <v>4</v>
      </c>
      <c r="I55" s="77"/>
      <c r="J55" s="77" t="s">
        <v>5</v>
      </c>
      <c r="K55" s="77"/>
      <c r="L55" s="78"/>
    </row>
    <row r="56" spans="2:12" ht="25.15" customHeight="1" x14ac:dyDescent="0.25">
      <c r="B56" s="2">
        <v>1</v>
      </c>
      <c r="C56" s="92" t="s">
        <v>85</v>
      </c>
      <c r="D56" s="83"/>
      <c r="E56" s="73">
        <f t="shared" ref="E56" si="4">+$D$5</f>
        <v>46196</v>
      </c>
      <c r="F56" s="48" t="s">
        <v>86</v>
      </c>
      <c r="G56" s="48">
        <v>135</v>
      </c>
      <c r="H56" s="82"/>
      <c r="I56" s="83"/>
      <c r="J56" s="82">
        <f t="shared" si="1"/>
        <v>0</v>
      </c>
      <c r="K56" s="83"/>
      <c r="L56" s="84"/>
    </row>
    <row r="57" spans="2:12" ht="25.15" customHeight="1" x14ac:dyDescent="0.25">
      <c r="B57" s="2">
        <v>2</v>
      </c>
      <c r="C57" s="92"/>
      <c r="D57" s="83"/>
      <c r="E57" s="59"/>
      <c r="F57" s="48"/>
      <c r="G57" s="48"/>
      <c r="H57" s="82"/>
      <c r="I57" s="83"/>
      <c r="J57" s="82">
        <f t="shared" si="1"/>
        <v>0</v>
      </c>
      <c r="K57" s="83"/>
      <c r="L57" s="84"/>
    </row>
    <row r="58" spans="2:12" ht="25.15" customHeight="1" x14ac:dyDescent="0.25">
      <c r="B58" s="2">
        <v>3</v>
      </c>
      <c r="C58" s="92"/>
      <c r="D58" s="83"/>
      <c r="E58" s="59"/>
      <c r="F58" s="48"/>
      <c r="G58" s="48"/>
      <c r="H58" s="82"/>
      <c r="I58" s="83"/>
      <c r="J58" s="82">
        <f t="shared" si="1"/>
        <v>0</v>
      </c>
      <c r="K58" s="83"/>
      <c r="L58" s="84"/>
    </row>
    <row r="59" spans="2:12" ht="25.15" customHeight="1" x14ac:dyDescent="0.25">
      <c r="B59" s="2">
        <v>4</v>
      </c>
      <c r="C59" s="92"/>
      <c r="D59" s="83"/>
      <c r="E59" s="59"/>
      <c r="F59" s="48"/>
      <c r="G59" s="48"/>
      <c r="H59" s="82"/>
      <c r="I59" s="83"/>
      <c r="J59" s="82">
        <f t="shared" si="1"/>
        <v>0</v>
      </c>
      <c r="K59" s="83"/>
      <c r="L59" s="84"/>
    </row>
    <row r="60" spans="2:12" ht="25.15" customHeight="1" thickBot="1" x14ac:dyDescent="0.3">
      <c r="B60" s="2">
        <v>5</v>
      </c>
      <c r="C60" s="92"/>
      <c r="D60" s="83"/>
      <c r="E60" s="47"/>
      <c r="F60" s="48"/>
      <c r="G60" s="48"/>
      <c r="H60" s="82"/>
      <c r="I60" s="83"/>
      <c r="J60" s="82">
        <f t="shared" si="1"/>
        <v>0</v>
      </c>
      <c r="K60" s="83"/>
      <c r="L60" s="84"/>
    </row>
    <row r="61" spans="2:12" ht="25.15" customHeight="1" thickBot="1" x14ac:dyDescent="0.3">
      <c r="B61" s="91" t="s">
        <v>74</v>
      </c>
      <c r="C61" s="91"/>
      <c r="D61" s="91"/>
      <c r="E61" s="91"/>
      <c r="F61" s="91"/>
      <c r="G61" s="91"/>
      <c r="H61" s="91"/>
      <c r="I61" s="91"/>
      <c r="J61" s="86">
        <f>+SUM(J56:L60)</f>
        <v>0</v>
      </c>
      <c r="K61" s="87"/>
      <c r="L61" s="88"/>
    </row>
    <row r="62" spans="2:12" ht="25.15" customHeight="1" thickBot="1" x14ac:dyDescent="0.3">
      <c r="B62" s="91" t="s">
        <v>6</v>
      </c>
      <c r="C62" s="91"/>
      <c r="D62" s="91"/>
      <c r="E62" s="91"/>
      <c r="F62" s="91"/>
      <c r="G62" s="91"/>
      <c r="H62" s="91"/>
      <c r="I62" s="91"/>
      <c r="J62" s="86">
        <f>+J61+J53</f>
        <v>34889.799999999996</v>
      </c>
      <c r="K62" s="87"/>
      <c r="L62" s="8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5"/>
      <c r="I63" s="85"/>
      <c r="J63" s="89"/>
      <c r="K63" s="90"/>
      <c r="L63" s="90"/>
    </row>
    <row r="64" spans="2:12" ht="21" customHeight="1" x14ac:dyDescent="0.25">
      <c r="B64" s="79" t="s">
        <v>15</v>
      </c>
      <c r="C64" s="80"/>
      <c r="D64" s="80"/>
      <c r="E64" s="153"/>
      <c r="F64" s="80" t="s">
        <v>14</v>
      </c>
      <c r="G64" s="80"/>
      <c r="H64" s="153"/>
      <c r="I64" s="79" t="s">
        <v>22</v>
      </c>
      <c r="J64" s="80"/>
      <c r="K64" s="80"/>
      <c r="L64" s="8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0"/>
      <c r="D75" s="80"/>
      <c r="E75" s="153"/>
      <c r="F75" s="80" t="s">
        <v>68</v>
      </c>
      <c r="G75" s="80"/>
      <c r="H75" s="153"/>
      <c r="I75" s="79" t="s">
        <v>31</v>
      </c>
      <c r="J75" s="80"/>
      <c r="K75" s="80"/>
      <c r="L75" s="81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79" t="s">
        <v>24</v>
      </c>
      <c r="C86" s="80"/>
      <c r="D86" s="80"/>
      <c r="E86" s="153"/>
      <c r="F86" s="80" t="s">
        <v>64</v>
      </c>
      <c r="G86" s="80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79" t="s">
        <v>57</v>
      </c>
      <c r="C96" s="80"/>
      <c r="D96" s="80"/>
      <c r="E96" s="153"/>
      <c r="F96" s="80" t="s">
        <v>32</v>
      </c>
      <c r="G96" s="80"/>
      <c r="H96" s="153"/>
      <c r="I96" s="79" t="s">
        <v>28</v>
      </c>
      <c r="J96" s="80"/>
      <c r="K96" s="80"/>
      <c r="L96" s="8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46196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167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C3/ 5.20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2026-06-25T10:40:43Z</cp:lastPrinted>
  <dcterms:created xsi:type="dcterms:W3CDTF">2014-05-26T07:40:11Z</dcterms:created>
  <dcterms:modified xsi:type="dcterms:W3CDTF">2026-06-25T10:40:57Z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