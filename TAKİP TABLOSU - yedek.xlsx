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Botas\Desktop\"/>
    </mc:Choice>
  </mc:AlternateContent>
  <xr:revisionPtr revIDLastSave="0" documentId="13_ncr:1_{77EEC84E-A986-4A47-AD62-818570A964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Sayfa2" sheetId="2" r:id="rId2"/>
  </sheets>
  <definedNames>
    <definedName name="_xlnm.Print_Area" localSheetId="0">Sayfa1!$A$1:$Y$129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6" i="2" l="1"/>
  <c r="I95" i="2" l="1"/>
  <c r="I94" i="2" l="1"/>
  <c r="I93" i="2" l="1"/>
  <c r="I92" i="2" l="1"/>
  <c r="I91" i="2" l="1"/>
  <c r="I90" i="2"/>
  <c r="I89" i="2" l="1"/>
  <c r="I88" i="2" l="1"/>
  <c r="I87" i="2" l="1"/>
  <c r="I86" i="2"/>
  <c r="I85" i="2" l="1"/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4" i="2"/>
  <c r="I33" i="2"/>
  <c r="I32" i="2"/>
  <c r="I31" i="2"/>
  <c r="I47" i="2"/>
  <c r="I46" i="2"/>
  <c r="I45" i="2"/>
  <c r="I44" i="2"/>
  <c r="I43" i="2"/>
  <c r="I42" i="2"/>
  <c r="I41" i="2"/>
  <c r="I40" i="2"/>
  <c r="I39" i="2"/>
  <c r="I38" i="2"/>
  <c r="I37" i="2"/>
  <c r="I36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84" i="2"/>
  <c r="I83" i="2" l="1"/>
  <c r="I82" i="2" l="1"/>
  <c r="I30" i="2" l="1"/>
  <c r="I29" i="2" l="1"/>
  <c r="I28" i="2" l="1"/>
  <c r="C23" i="2" l="1"/>
  <c r="X4" i="1" l="1"/>
</calcChain>
</file>

<file path=xl/sharedStrings.xml><?xml version="1.0" encoding="utf-8"?>
<sst xmlns="http://schemas.openxmlformats.org/spreadsheetml/2006/main" count="734" uniqueCount="282">
  <si>
    <t>Tutanak No</t>
  </si>
  <si>
    <t>Tarih</t>
  </si>
  <si>
    <t>Blok</t>
  </si>
  <si>
    <t>Kat</t>
  </si>
  <si>
    <t>Mahal</t>
  </si>
  <si>
    <t>Yardımcı Ad.</t>
  </si>
  <si>
    <t>Usta Ad.</t>
  </si>
  <si>
    <t>DU100</t>
  </si>
  <si>
    <t>DU50</t>
  </si>
  <si>
    <t>Yardımcı Birim 
Fiyat</t>
  </si>
  <si>
    <t>Usta Birim 
Fiyat</t>
  </si>
  <si>
    <t>SÜLSER İŞÇİLİK</t>
  </si>
  <si>
    <t>REC MALZEME</t>
  </si>
  <si>
    <t>TUTANAK BİLGİLERİ</t>
  </si>
  <si>
    <t>TOPLAM TUTAR</t>
  </si>
  <si>
    <t>ANKARA ADALET SARAYI PROJESİ SÜLSER MÜHENDİSLİK İLAVE İŞLER TAKİP FORMU</t>
  </si>
  <si>
    <t>Hakediş No</t>
  </si>
  <si>
    <t>Kullanılan
 Malzeme Cinsi</t>
  </si>
  <si>
    <t>Birim</t>
  </si>
  <si>
    <t>C</t>
  </si>
  <si>
    <t>-4.80</t>
  </si>
  <si>
    <t>C6</t>
  </si>
  <si>
    <t>C-AZ-257</t>
  </si>
  <si>
    <t>C7</t>
  </si>
  <si>
    <t>C-AZ-432</t>
  </si>
  <si>
    <t>C5</t>
  </si>
  <si>
    <t>0.20</t>
  </si>
  <si>
    <t>C3</t>
  </si>
  <si>
    <t>C-Z-083</t>
  </si>
  <si>
    <t>C-AZ-401</t>
  </si>
  <si>
    <t>-10.20</t>
  </si>
  <si>
    <t>C-B1-159A</t>
  </si>
  <si>
    <t>C-Z-104</t>
  </si>
  <si>
    <t>1</t>
  </si>
  <si>
    <t>C-AZ-202/203</t>
  </si>
  <si>
    <t>2</t>
  </si>
  <si>
    <t>MT</t>
  </si>
  <si>
    <t>3</t>
  </si>
  <si>
    <t>-10.60</t>
  </si>
  <si>
    <t>C-B1-519</t>
  </si>
  <si>
    <t>20LİK GAZBETON</t>
  </si>
  <si>
    <t>M2</t>
  </si>
  <si>
    <t>4</t>
  </si>
  <si>
    <t>5</t>
  </si>
  <si>
    <t>15LİK GAZBETON</t>
  </si>
  <si>
    <t>6</t>
  </si>
  <si>
    <t>7</t>
  </si>
  <si>
    <t>8</t>
  </si>
  <si>
    <t>9</t>
  </si>
  <si>
    <t>10</t>
  </si>
  <si>
    <t>C-Z-115</t>
  </si>
  <si>
    <t>FX ULTRA</t>
  </si>
  <si>
    <t>DC100</t>
  </si>
  <si>
    <t>11</t>
  </si>
  <si>
    <t>DC50</t>
  </si>
  <si>
    <t>12</t>
  </si>
  <si>
    <t>5.20</t>
  </si>
  <si>
    <t>C-1-067</t>
  </si>
  <si>
    <t>13</t>
  </si>
  <si>
    <t>C-B1-459</t>
  </si>
  <si>
    <t>C-AZ-198/189/193</t>
  </si>
  <si>
    <t>18</t>
  </si>
  <si>
    <t>C-B1-174-175-176</t>
  </si>
  <si>
    <t>19</t>
  </si>
  <si>
    <t>C-Z-105/106/107/108</t>
  </si>
  <si>
    <t>20</t>
  </si>
  <si>
    <t>10.20</t>
  </si>
  <si>
    <t>C-2-213/214</t>
  </si>
  <si>
    <t>21</t>
  </si>
  <si>
    <t>-4,80</t>
  </si>
  <si>
    <t>C-AZ-442</t>
  </si>
  <si>
    <t>22</t>
  </si>
  <si>
    <t>C-AZ-289</t>
  </si>
  <si>
    <t>23</t>
  </si>
  <si>
    <t>C-1-294/296</t>
  </si>
  <si>
    <t>24</t>
  </si>
  <si>
    <t>C-AZ-198</t>
  </si>
  <si>
    <t>C-1-311</t>
  </si>
  <si>
    <t>25</t>
  </si>
  <si>
    <t>26</t>
  </si>
  <si>
    <t>C-AZ-389</t>
  </si>
  <si>
    <t>27</t>
  </si>
  <si>
    <t>15.20</t>
  </si>
  <si>
    <t>28</t>
  </si>
  <si>
    <t>C-AZ-205</t>
  </si>
  <si>
    <t>29</t>
  </si>
  <si>
    <t>30</t>
  </si>
  <si>
    <t>C-AZ-404</t>
  </si>
  <si>
    <t>40*40*2</t>
  </si>
  <si>
    <t>31</t>
  </si>
  <si>
    <t>C-AZ-445/446/447</t>
  </si>
  <si>
    <t>20*40*2</t>
  </si>
  <si>
    <t>60*40*2</t>
  </si>
  <si>
    <t>32</t>
  </si>
  <si>
    <t>C-1-91/92</t>
  </si>
  <si>
    <t>BETON</t>
  </si>
  <si>
    <t>33</t>
  </si>
  <si>
    <t>C-AZ-213/215/218</t>
  </si>
  <si>
    <t>34</t>
  </si>
  <si>
    <t>35</t>
  </si>
  <si>
    <t>C-AZ-423</t>
  </si>
  <si>
    <t>36</t>
  </si>
  <si>
    <t>37</t>
  </si>
  <si>
    <t>39</t>
  </si>
  <si>
    <t>40</t>
  </si>
  <si>
    <t>41</t>
  </si>
  <si>
    <t>42</t>
  </si>
  <si>
    <t>43</t>
  </si>
  <si>
    <t>47</t>
  </si>
  <si>
    <t>C-B1-306</t>
  </si>
  <si>
    <t>48</t>
  </si>
  <si>
    <t>143 M2 GAZBETON 15LİK</t>
  </si>
  <si>
    <t>49</t>
  </si>
  <si>
    <t>50</t>
  </si>
  <si>
    <t>51</t>
  </si>
  <si>
    <t>52</t>
  </si>
  <si>
    <t>C6-7</t>
  </si>
  <si>
    <t>53</t>
  </si>
  <si>
    <t>C3-C5</t>
  </si>
  <si>
    <t>54</t>
  </si>
  <si>
    <t>55</t>
  </si>
  <si>
    <t>56</t>
  </si>
  <si>
    <t>2OLİK GAZBETON</t>
  </si>
  <si>
    <t>57</t>
  </si>
  <si>
    <t>58</t>
  </si>
  <si>
    <t>59</t>
  </si>
  <si>
    <t>60</t>
  </si>
  <si>
    <t>61</t>
  </si>
  <si>
    <t>C5-1-213/214</t>
  </si>
  <si>
    <t>62</t>
  </si>
  <si>
    <t>C-AZ-194</t>
  </si>
  <si>
    <t>4 CM MİNERAL YÜN</t>
  </si>
  <si>
    <t>64</t>
  </si>
  <si>
    <t>65</t>
  </si>
  <si>
    <t>C4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</si>
  <si>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</si>
  <si>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</si>
  <si>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</si>
  <si>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</si>
  <si>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</si>
  <si>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</si>
  <si>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</si>
  <si>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</si>
  <si>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</si>
  <si>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</si>
  <si>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</si>
  <si>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</si>
  <si>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</si>
  <si>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</si>
  <si>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20.20</t>
  </si>
  <si>
    <t>81</t>
  </si>
  <si>
    <t>82</t>
  </si>
  <si>
    <t>GEOFAM 10 CM</t>
  </si>
  <si>
    <t>PAKET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</si>
  <si>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</si>
  <si>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</si>
  <si>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</si>
  <si>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</si>
  <si>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</si>
  <si>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</si>
  <si>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</si>
  <si>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</si>
  <si>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</si>
  <si>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</si>
  <si>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MC03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</si>
  <si>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</si>
  <si>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</si>
  <si>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</si>
  <si>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</si>
  <si>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</si>
  <si>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</si>
  <si>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</si>
  <si>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</si>
  <si>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</si>
  <si>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</si>
  <si>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</si>
  <si>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</si>
  <si>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</si>
  <si>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</si>
  <si>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RECTEN ALINAN</t>
  </si>
  <si>
    <t>40*4**2</t>
  </si>
  <si>
    <t>MİKTAR</t>
  </si>
  <si>
    <t>25.20</t>
  </si>
  <si>
    <t>Miktar</t>
  </si>
  <si>
    <t>Hakediş Durumu</t>
  </si>
  <si>
    <t>Birim Fiyat (TL)</t>
  </si>
  <si>
    <t>Toplam Tutar (TL)</t>
  </si>
  <si>
    <t>yevmiye</t>
  </si>
  <si>
    <t>Yevmiye Detayı</t>
  </si>
  <si>
    <t>1 Usta</t>
  </si>
  <si>
    <t>İmalat Açıklaması</t>
  </si>
  <si>
    <t xml:space="preserve"> Malzeme Açıklaması</t>
  </si>
  <si>
    <t>Ücret</t>
  </si>
  <si>
    <t>m</t>
  </si>
  <si>
    <t>20 cm gazbeton</t>
  </si>
  <si>
    <t>m²</t>
  </si>
  <si>
    <t>15 cm Gazbeton</t>
  </si>
  <si>
    <t>FX Ultra Alçıpan</t>
  </si>
  <si>
    <t>2 Usta
1 Usta Yard.</t>
  </si>
  <si>
    <t>1 Usta
1 Usta Yard.</t>
  </si>
  <si>
    <t xml:space="preserve">C6 Blok -4.80 kotu C-AZ-401 mahalinde bulunan alçıpan duvar imalatı,elektrik çalışmaları sırasında karkas yamulmuş, yalıtım plakaları sökülmüş ve zarar görmüştür.zarar gören alanlar tespit edilip tekrar yapılmıştır.
</t>
  </si>
  <si>
    <t>C5 0.20 C-Z-104 mahali betonarme bozuk olduğu için rec tarafından taksimat söktürüldü.</t>
  </si>
  <si>
    <t>C Blok alt zemin kat C-AZ-202 ve C-AZ-203 mahallerinde bulunan alçıpan duvar imalatlarına ait DU profilleri, saha içi sirkülasyon sırasında mekanik darbelere maruz kalarak deformasyona uğramıştır.Deforme olan profiller tespit edilerek sökülmüş, yerine yeni DU profilleri montajı gerçekleştirilmiştir.</t>
  </si>
  <si>
    <t>C7 Blok -10.60 kotunda bulunan gazbeton duvar imalatı, saha içi taşıma ve malzeme hareketleri sırasında yıkılmıştır.
Durum fotoğraf ile kayıt altına alınmış olup, yıkılan duvar proje doğrultusunda yeniden yapılmıştır.</t>
  </si>
  <si>
    <t>C5 Blok 0.20 kotunda bulunan gazbeton duvar imalatı,kaba inşaat çalışmaları sırasında yıkılmıştır.
Durum fotoğraf ile kayıt altına alınmış olup, yıkılan duvar proje doğrultusunda yeniden yapılmıştır.</t>
  </si>
  <si>
    <t>C7 Blok -4.80 kotunda bulunan gazbeton duvar taksimatları, elektrik ve mekanik çalışmaları sırasında sökülmüştür.
Sökülen alanlar tespit edilip tamiratı yapılmıştır.</t>
  </si>
  <si>
    <t>C7 Blok -4.80 kotu C-AZ-257 mahalinde bulunan gazbeton duvar imalatı, elektrik ve mekanik çalışmaları sırasında yıkılmıştır.
yıkılan duvar proje doğrultusunda tekrar yapılmıştır.</t>
  </si>
  <si>
    <t xml:space="preserve">C3 Blok 0.20 kotu C-Z-083 mahalinde bulunan alçıpan duvar karkas imalatı, elektrik ve mekanik çalışmaları sırasında zarar görmüştür.
</t>
  </si>
  <si>
    <t xml:space="preserve">C6 Blok -4.80 kotu C-AZ-401 mahalinde bulunan alçıpan duvar karkas imalatı, elektrik ve mekanik çalışmaları sırasında zarar görmüştür.
</t>
  </si>
  <si>
    <t xml:space="preserve">C6 Blok -10.20 kotu C-B1-159A mahalinde bulunan gazbeton duvar imalatı, mekanik çalışmaları sırasında yıkılmıştır.Yıkılan duvarlar proje doğrultusunda tekrar yapılmıştır.
</t>
  </si>
  <si>
    <t xml:space="preserve">C5 Blok 0.20 kotu C-Z-115 mahalinde bulunan alçıpan duvar imalatı, mekanik ve elektrik çalışmaları sırasında zarar görmüştür.zarar gören alanlar tespit edilip tekrar yapılmıştır.
</t>
  </si>
  <si>
    <t>2 Usta
2 Usta Yard.</t>
  </si>
  <si>
    <t>C3 Blok 5.20 kotu C-1-067 mahalinde bulunan alçıpan duvar imalatı, iskele taşıma sırasında karkasın yamulması sonucu zarar görmüş olup, hasarlı bölgeler tespit edilerek yeniden yapılmıştır.</t>
  </si>
  <si>
    <t>C6 Blok -10.20 kotu C-B1-459 mahalinde bulunan gazbeton duvar imalatı, dış cepheden gelen darbe etkisi nedeniyle yıkılmıştır.</t>
  </si>
  <si>
    <t>3 Usta</t>
  </si>
  <si>
    <t>2 İSG Personeli</t>
  </si>
  <si>
    <t>ücret</t>
  </si>
  <si>
    <t>Toplam Ücret</t>
  </si>
  <si>
    <t>Sözleşme gereği işveren tarafından talep edilen isg uzmanı bedeli.-KASIM</t>
  </si>
  <si>
    <t>Sözleşme gereği işveren tarafından talep edilen isg uzmanı bedeli.-EKİM</t>
  </si>
  <si>
    <t>Sözleşme gereği işveren tarafından talep edilen isg uzmanı bedeli.-EYLÜL</t>
  </si>
  <si>
    <t>1 İSG Personeli</t>
  </si>
  <si>
    <t>C7 Blok -4.80 kotu C-AZ-189/193/198 mahallerinde bulunan alçıpan duvar imalatı, mekanik ve elektrik çalışmaları sırasında zarar görmüştür.</t>
  </si>
  <si>
    <t>C6 Blok -10.20 kotu C-B1-174/175/176 mahallerinde yapılan ano çıtaları, mekanik çalışmaları sırasında sökülmüş, zarar görmüştür.</t>
  </si>
  <si>
    <t>2 Usta</t>
  </si>
  <si>
    <t>İPTAL</t>
  </si>
  <si>
    <t>C5 Blok 0.20 kotu C-Z-105/106/107/108 mahallerinde yapılan alçıpan duvar imalatı, elektrik ve mekanik imalatlar sırasında zarar görmüş olup duvarlar mastarından çıkmıştır. Zarar gören duvarların gerekli düzeltme ve yeniden imalatları tarafımızca yapılmıştır.</t>
  </si>
  <si>
    <t>3 Usta
2 Usta Yardımcısı</t>
  </si>
  <si>
    <t>C5 Blok 10.20 kotu C-2-213/214 mahallerinde yapılan alçı sıva imalatı, yağış ile birlikte şafttan gelen su ve kaba imalatları atıkları nedeniyle zarar görmüştür.</t>
  </si>
  <si>
    <t>C7 Blok -4.80 kotu C-AZ-442 mahalinde yapılan alçıpan duvar imalatı, mekanik ve elektrik çalışmaları sırasında zarar görmüştür.</t>
  </si>
  <si>
    <t>C6 Blok -4.80 kotu C-AZ-389 mahalinde yapılan alçıpan duvar imalatı, elekrik proje revizyonu ile gelen kartlı geçiş imalatı sebebiyle tekrar açılmıştır.</t>
  </si>
  <si>
    <t>C3 Blok 5.20 kotu C-1-294/296 mahallerinde yapılan alçıpan duvar aplikasyonu, mekanik çalışmaları nedeniyle zarar görmüştür.</t>
  </si>
  <si>
    <t xml:space="preserve">C7 Blok -4.80 kotu C-AZ-198 mahalinde yapılan alçıpan duvar karkas imalatı, mekanik ve elektrik çalışmaları nedeniyle sökülmüştür. </t>
  </si>
  <si>
    <t xml:space="preserve">C3 Blok 5.20 kotu C-1-311 mahalinde yapılan alçıpan duvar  imalatı,  elektrik çalışmaları sırasında zarar görmüş olup duvarlar mastarından çıkmıştır. Zarar gören duvarların gerekli düzeltmelari tarafımızca yapılmıştır. </t>
  </si>
  <si>
    <t xml:space="preserve">C6 Blok -4.80 kotu C-AZ-389 mahalinde yapılan alçı sıva imalatı, elektrik çalışmaları sırasında zarar görmüş olup tamiratları tarafımızca yapılmıştır. </t>
  </si>
  <si>
    <t>15.20 kotu C3 Blok genelinde, duvar aplikasyonuna engel teşkil eden kaba imalattan kalan demirler kesilerek imalat için uygun hale getirilmiştir.</t>
  </si>
  <si>
    <t>C7 Blok C-AZ-205 mahallinde bulunan gazbeton duvar ve alçıpan duvar imalatlarına zarar verilmiş olup, ilgili imalatlar tarafımızca onarılmıştır.</t>
  </si>
  <si>
    <t>Stok alanında bulunan galvaniz profillerin üzerine demir konulması nedeniyle profiller zarar görmüş, yamulan ve kullanılamayacak durumda olanlar tespit edilmiştir.</t>
  </si>
  <si>
    <t>C6 Blok C-AZ-404 mahallinde bulunan Hilton lavabo güçlendirmesi, mekanik çalışmalar nedeniyle zarar görmüş olup, ilgili imalat tarafımızca düzeltilmiştir.</t>
  </si>
  <si>
    <t>40*40*2 mm Kutu Profil</t>
  </si>
  <si>
    <t>C7 Blok C-AZ-445/446/447 mahallerine kutu profil duvarlar ve güçlendirmeler sökülmüş, zarar verilmiştir. İmalatlar tarafımızca proje doğrultusunda tekrar yapılmıştır.</t>
  </si>
  <si>
    <t>20*40*2 mm Kutu Profil</t>
  </si>
  <si>
    <t>60*40*2 mm Kutu Profil</t>
  </si>
  <si>
    <t>C3 Blok C-1-091/092 mahallerinde mekanik çalışmalar sırasında manlift kullanımı nedeniyle duvar imalatı zarar görmüş olup, ilgili imalat tarafımızca sökülerek yeniden yapılmıştır.</t>
  </si>
  <si>
    <t>8 Usta</t>
  </si>
  <si>
    <t>Beton</t>
  </si>
  <si>
    <t>m³</t>
  </si>
  <si>
    <t>C7 Blok C-AZ-213/215/218 mahallerine kutu profil duvarlar ve güçlendirmeler sökülmüş, zarar verilmiştir. İmalatlar tarafımızca proje doğrultusunda tekrar yapılmıştır.</t>
  </si>
  <si>
    <t>C7 Blok C-AZ-205 mahalinde bulunan alçıpanel duvarlara zarar verilmiş olup, zarar gören duvarlar sökülerek yeni alçıpanel montajı yapılmıştır.</t>
  </si>
  <si>
    <t>3 Usta
2 Usta Yard.</t>
  </si>
  <si>
    <t>C7 Blok C-AZ-423 mahalinde bulunan alçıpanel duvarlara zarar verilmiş olup, zarar gören duvarlar sökülerek yeni alçıpanel montajı yapılmıştır.</t>
  </si>
  <si>
    <t>3 Usta
1 Usta Yard.</t>
  </si>
  <si>
    <t>Zemin kat C3 Blok genelinde bulunan alçıpanel duvarlara zarar verilmiş olup, zarar gören duvarlar sökülerek yeni alçıpanel montajı yapılmıştır.</t>
  </si>
  <si>
    <t>Düz işçi</t>
  </si>
  <si>
    <t>Metin Koç (Düz İşçi)
Ferit Özer (Düz İşçi)</t>
  </si>
  <si>
    <t>Mustafa Çalağan (Düz İşçi)
Ferit Özer (Düz İşçi)</t>
  </si>
  <si>
    <t>Mustafa Çalağan (Düz İşçi)
Erol Tuna (Düz İşçi)</t>
  </si>
  <si>
    <t>Mustafa Artok (Düz İşçi)
Erol Tuna (Düz İşçi)</t>
  </si>
  <si>
    <t>C Blok’ta yürütülen çalışmalarda iş sağlığı ve güvenliği koordinasyonunu sağlamak amacıyla görevlendirilen İSG Destek Elemanları'nın şubat ayı çalışmaları ekte sunulan puantaj ile kayıt altına alınmıştır.-ŞUBAT</t>
  </si>
  <si>
    <t>C Blok’ta yürütülen çalışmalarda iş sağlığı ve güvenliği koordinasyonunu sağlamak amacıyla görevlendirilen İSG Destek Elemanları'nın ocak ayı çalışmaları ekte sunulan puantaj ile kayıt altına alınmıştır.-OCAK</t>
  </si>
  <si>
    <t>C Blok’ta yürütülen çalışmalarda iş sağlığı ve güvenliği koordinasyonunu sağlamak amacıyla görevlendirilen İSG Destek Elemanları'nın aralık ayı çalışmaları ekte sunulan puantaj ile kayıt altına alınmıştır.-ARALIK</t>
  </si>
  <si>
    <t>C Blok’ta yürütülen çalışmalarda iş sağlığı ve güvenliği koordinasyonunu sağlamak amacıyla görevlendirilen İSG Destek Elemanları'nın kasım ayı çalışmaları ekte sunulan puantaj ile kayıt altına alınmıştır.-KASIM</t>
  </si>
  <si>
    <t>C Blok’ta yürütülen çalışmalarda iş sağlığı ve güvenliği koordinasyonunu sağlamak amacıyla görevlendirilen İSG Destek Elemanları'nın ekim ayı çalışmaları ekte sunulan puantaj ile kayıt altına alınmıştır.-EKİM</t>
  </si>
  <si>
    <t>C Blok’ta yürütülen çalışmalarda iş sağlığı ve güvenliği koordinasyonunu sağlamak amacıyla görevlendirilen İSG Destek Elemanları'nın eylül ayı çalışmaları ekte sunulan puantaj ile kayıt altına alınmıştır.-EYLÜL</t>
  </si>
  <si>
    <t>C Blok’ta yürütülen çalışmalarda iş sağlığı ve güvenliği koordinasyonunu sağlamak amacıyla görevlendirilen İSG Destek Elemanları'nın çalışmaları ekte sunulan puantaj ile kayıt altına alınmıştır.-AĞUSTOS</t>
  </si>
  <si>
    <t>Sözleşme gereği işveren tarafından talep edilen isg uzmanı bedeli.-ARALIK</t>
  </si>
  <si>
    <t>Sözleşme gereği işveren tarafından talep edilen isg uzmanı bedeli.-OCAK</t>
  </si>
  <si>
    <t>Sözleşme gereği işveren tarafından talep edilen isg uzmanı bedeli.-ŞUBAT</t>
  </si>
  <si>
    <t>Bodrum kat C7 Blok C-B1-306 mahalinde rampa perdesi için kalıp imalatı sırasında sıvası tamamlanan duvarlara zarar verilmiş olup, zarar gören alanlarda sıva ve saten tamiratları  yapılmıştır.</t>
  </si>
  <si>
    <t>(1.1.1) 15 cm kalınlığında gazbeton yapılması</t>
  </si>
  <si>
    <t>REC talebi ile mobilizasyon alanında mekanik oda inşaa edildi. 143 m2 gazbeton duvar yapıldı.</t>
  </si>
  <si>
    <t>4 Usta</t>
  </si>
  <si>
    <t>15 cm kalınlığında gazbeton yapılması</t>
  </si>
  <si>
    <t>C3 Blok 5.20 kotunda mekanik firmasının çalışmaları sırasında imalatı tamamlanmış alçıpan duvara manlıft ile çarparak zarar vermiştir. Zarar gören alanlar sökülüp tekrar yapılmıştır.</t>
  </si>
  <si>
    <t>C3 Blok 10.20 kotunda yağış nedeniyle biriken su, imalat çalışmalarının devam edebilmesi amacıyla tarafımızca tahliye edilmiştir.</t>
  </si>
  <si>
    <t>2 Usta Yard.</t>
  </si>
  <si>
    <t>C7 Blok -4.80 kotu B Blok tarafında cephe kalıp imalatı sırasında cephe duvarlarına zarar verilmiş olup, REC talebi doğrultusunda alçıpan giydirme duvar profilleri sökülmüştür.</t>
  </si>
  <si>
    <t>C6-7 Bloklar -10.60 kotunda yağış nedeniyle biriken su, imalat çalışmalarının devam edebilmesi amacıyla tarafımızca tahliye edilmiştir</t>
  </si>
  <si>
    <t>C3 ve C5 bloklarında bulunan çöp şutlarında, REC talebi doğrultusunda kutu profiller kullanılarak etrafı kapatılmıştır.</t>
  </si>
  <si>
    <t>C3 Blok 5.20 kotundagüvenlik ağının sökülmesi sırasında gazbeton duvarlarda lokal kırıklar ve yıkımlar oluşmuştur. Oluşan hasarlar tespit edilerek gerekli tamiratlar yapılmıştır.</t>
  </si>
  <si>
    <t>C5 Blok 10.20 kotunda güvenlik ağının sökülmesi sırasında gazbeton duvarlarda lokal kırıklar ve yıkımlar oluşmuştur. Oluşan hasarlar tespit edilerek gerekli tamiratlar yapılmıştır.</t>
  </si>
  <si>
    <t>C7 Blok -10.60 kotunda cephe gazbeton duvarında domino firması kalıp çalışmaları sırasında yıkımlar oluşmuştur. Oluşan hasarlar tespit edilerek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</si>
</sst>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&quot;₺&quot;#,##0.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4" fontId="9" fillId="0" borderId="0" applyFont="0" applyFill="0" applyBorder="0" applyAlignment="0" applyProtection="0"/>
  </cellStyleXfs>
  <cellXfs count="150">
    <xf numFmtId="0" fontId="0" fillId="0" borderId="0" xfId="0"/>
    <xf numFmtId="0" fontId="0" fillId="0" borderId="5" xfId="0" applyBorder="1"/>
    <xf numFmtId="0" fontId="0" fillId="0" borderId="9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1" fontId="0" fillId="3" borderId="9" xfId="0" applyNumberForma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9" xfId="0" applyFill="1" applyBorder="1" applyAlignment="1">
      <alignment horizontal="center" vertical="top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2" borderId="7" xfId="0" applyFill="1" applyBorder="1" applyAlignment="1">
      <alignment horizontal="left" vertical="center"/>
    </xf>
    <xf numFmtId="2" fontId="0" fillId="2" borderId="8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2" fontId="0" fillId="2" borderId="11" xfId="0" applyNumberFormat="1" applyFill="1" applyBorder="1" applyAlignment="1">
      <alignment horizontal="center" vertical="center"/>
    </xf>
    <xf numFmtId="0" fontId="0" fillId="2" borderId="9" xfId="0" applyFill="1" applyBorder="1"/>
    <xf numFmtId="0" fontId="0" fillId="2" borderId="11" xfId="0" applyFill="1" applyBorder="1"/>
    <xf numFmtId="0" fontId="3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2" fontId="0" fillId="4" borderId="16" xfId="0" applyNumberFormat="1" applyFill="1" applyBorder="1" applyAlignment="1">
      <alignment horizontal="center" vertical="center"/>
    </xf>
    <xf numFmtId="0" fontId="0" fillId="4" borderId="16" xfId="0" applyFill="1" applyBorder="1"/>
    <xf numFmtId="2" fontId="0" fillId="2" borderId="15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0" fontId="0" fillId="2" borderId="16" xfId="0" applyFill="1" applyBorder="1"/>
    <xf numFmtId="0" fontId="3" fillId="3" borderId="2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4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0" fillId="2" borderId="29" xfId="0" applyNumberFormat="1" applyFill="1" applyBorder="1" applyAlignment="1">
      <alignment horizontal="center" vertical="center"/>
    </xf>
    <xf numFmtId="0" fontId="0" fillId="2" borderId="29" xfId="0" applyFill="1" applyBorder="1"/>
    <xf numFmtId="0" fontId="3" fillId="3" borderId="24" xfId="0" applyFont="1" applyFill="1" applyBorder="1" applyAlignment="1">
      <alignment horizontal="center" vertical="center" wrapText="1"/>
    </xf>
    <xf numFmtId="164" fontId="0" fillId="2" borderId="28" xfId="0" applyNumberForma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164" fontId="0" fillId="2" borderId="29" xfId="0" applyNumberFormat="1" applyFill="1" applyBorder="1"/>
    <xf numFmtId="2" fontId="0" fillId="2" borderId="2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44" fontId="0" fillId="0" borderId="0" xfId="3" applyFont="1"/>
    <xf numFmtId="44" fontId="10" fillId="0" borderId="34" xfId="3" applyFont="1" applyBorder="1" applyAlignment="1">
      <alignment horizontal="center" vertical="center" wrapText="1"/>
    </xf>
    <xf numFmtId="44" fontId="0" fillId="0" borderId="34" xfId="3" applyFont="1" applyBorder="1" applyAlignment="1">
      <alignment horizontal="center" vertical="center"/>
    </xf>
    <xf numFmtId="44" fontId="0" fillId="0" borderId="36" xfId="3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44" fontId="0" fillId="0" borderId="36" xfId="3" applyFont="1" applyBorder="1" applyAlignment="1">
      <alignment vertical="center"/>
    </xf>
    <xf numFmtId="44" fontId="0" fillId="0" borderId="34" xfId="3" applyFont="1" applyBorder="1" applyAlignment="1">
      <alignment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0" xfId="0" applyFont="1"/>
    <xf numFmtId="0" fontId="11" fillId="0" borderId="3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14" fontId="0" fillId="6" borderId="34" xfId="0" applyNumberForma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 wrapText="1"/>
    </xf>
    <xf numFmtId="44" fontId="0" fillId="6" borderId="34" xfId="3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14" fontId="0" fillId="6" borderId="35" xfId="0" applyNumberForma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14" fontId="0" fillId="0" borderId="35" xfId="0" applyNumberForma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44" fontId="0" fillId="0" borderId="35" xfId="3" applyFont="1" applyBorder="1" applyAlignment="1">
      <alignment horizontal="center" vertical="center"/>
    </xf>
    <xf numFmtId="44" fontId="0" fillId="0" borderId="36" xfId="3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2" fontId="0" fillId="4" borderId="22" xfId="0" applyNumberForma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top"/>
    </xf>
    <xf numFmtId="0" fontId="0" fillId="4" borderId="18" xfId="0" applyFill="1" applyBorder="1" applyAlignment="1">
      <alignment horizontal="center" vertical="top"/>
    </xf>
    <xf numFmtId="2" fontId="0" fillId="4" borderId="19" xfId="0" applyNumberFormat="1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araBirimi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24"/>
  <sheetViews>
    <sheetView view="pageBreakPreview" topLeftCell="H1" zoomScale="55" zoomScaleNormal="70" zoomScaleSheetLayoutView="55" workbookViewId="0">
      <pane ySplit="4" topLeftCell="A18" activePane="bottomLeft" state="frozen"/>
      <selection pane="bottomLeft" activeCell="C25" sqref="C25:U29"/>
    </sheetView>
  </sheetViews>
  <sheetFormatPr defaultRowHeight="14.4" x14ac:dyDescent="0.3"/>
  <cols>
    <col min="2" max="2" width="12.6640625" customWidth="1"/>
    <col min="3" max="3" width="12.5546875" customWidth="1"/>
    <col min="4" max="4" width="11.44140625" customWidth="1"/>
    <col min="7" max="7" width="28.44140625" customWidth="1"/>
    <col min="8" max="8" width="8.6640625" customWidth="1"/>
    <col min="9" max="9" width="10.33203125" customWidth="1"/>
    <col min="10" max="10" width="10" customWidth="1"/>
    <col min="11" max="11" width="12.6640625" customWidth="1"/>
    <col min="12" max="12" width="10.88671875" customWidth="1"/>
    <col min="13" max="13" width="11.88671875" customWidth="1"/>
    <col min="14" max="14" width="10.33203125" customWidth="1"/>
    <col min="15" max="15" width="8.88671875" customWidth="1"/>
    <col min="16" max="16" width="18.33203125" customWidth="1"/>
    <col min="17" max="17" width="14.44140625" customWidth="1"/>
    <col min="18" max="18" width="8.33203125" customWidth="1"/>
    <col min="19" max="19" width="17.6640625" customWidth="1"/>
    <col min="20" max="20" width="8.33203125" customWidth="1"/>
    <col min="21" max="21" width="9.44140625" customWidth="1"/>
    <col min="22" max="22" width="8.33203125" customWidth="1"/>
    <col min="23" max="23" width="20.5546875" customWidth="1"/>
    <col min="24" max="24" width="22.44140625" customWidth="1"/>
  </cols>
  <sheetData>
    <row r="1" spans="2:24" ht="22.5" customHeight="1" thickBot="1" x14ac:dyDescent="0.35"/>
    <row r="2" spans="2:24" ht="60" customHeight="1" thickBot="1" x14ac:dyDescent="0.35">
      <c r="B2" s="110" t="s">
        <v>15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2:24" ht="37.5" customHeight="1" thickBot="1" x14ac:dyDescent="0.35">
      <c r="B3" s="111" t="s">
        <v>13</v>
      </c>
      <c r="C3" s="112"/>
      <c r="D3" s="112"/>
      <c r="E3" s="112"/>
      <c r="F3" s="112"/>
      <c r="G3" s="113"/>
      <c r="H3" s="109" t="s">
        <v>11</v>
      </c>
      <c r="I3" s="109"/>
      <c r="J3" s="109"/>
      <c r="K3" s="109"/>
      <c r="L3" s="114" t="s">
        <v>179</v>
      </c>
      <c r="M3" s="115"/>
      <c r="N3" s="115"/>
      <c r="O3" s="116"/>
      <c r="P3" s="117" t="s">
        <v>12</v>
      </c>
      <c r="Q3" s="118"/>
      <c r="R3" s="119"/>
      <c r="S3" s="120" t="s">
        <v>12</v>
      </c>
      <c r="T3" s="121"/>
      <c r="U3" s="121"/>
      <c r="V3" s="122"/>
      <c r="W3" s="48" t="s">
        <v>179</v>
      </c>
      <c r="X3" s="27" t="s">
        <v>14</v>
      </c>
    </row>
    <row r="4" spans="2:24" ht="48" customHeight="1" thickBot="1" x14ac:dyDescent="0.35">
      <c r="B4" s="38" t="s">
        <v>16</v>
      </c>
      <c r="C4" s="39" t="s">
        <v>0</v>
      </c>
      <c r="D4" s="39" t="s">
        <v>1</v>
      </c>
      <c r="E4" s="39" t="s">
        <v>2</v>
      </c>
      <c r="F4" s="39" t="s">
        <v>3</v>
      </c>
      <c r="G4" s="40" t="s">
        <v>4</v>
      </c>
      <c r="H4" s="52" t="s">
        <v>6</v>
      </c>
      <c r="I4" s="36" t="s">
        <v>10</v>
      </c>
      <c r="J4" s="36" t="s">
        <v>5</v>
      </c>
      <c r="K4" s="37" t="s">
        <v>9</v>
      </c>
      <c r="L4" s="52" t="s">
        <v>6</v>
      </c>
      <c r="M4" s="36" t="s">
        <v>10</v>
      </c>
      <c r="N4" s="36" t="s">
        <v>5</v>
      </c>
      <c r="O4" s="37" t="s">
        <v>9</v>
      </c>
      <c r="P4" s="41" t="s">
        <v>17</v>
      </c>
      <c r="Q4" s="42" t="s">
        <v>181</v>
      </c>
      <c r="R4" s="43" t="s">
        <v>18</v>
      </c>
      <c r="S4" s="41" t="s">
        <v>17</v>
      </c>
      <c r="T4" s="148" t="s">
        <v>181</v>
      </c>
      <c r="U4" s="149"/>
      <c r="V4" s="43" t="s">
        <v>18</v>
      </c>
      <c r="W4" s="49"/>
      <c r="X4" s="28">
        <f>SUM(X5:X100)</f>
        <v>0</v>
      </c>
    </row>
    <row r="5" spans="2:24" ht="24.9" customHeight="1" thickBot="1" x14ac:dyDescent="0.35">
      <c r="B5" s="123"/>
      <c r="C5" s="125" t="s">
        <v>33</v>
      </c>
      <c r="D5" s="127">
        <v>45967</v>
      </c>
      <c r="E5" s="129" t="s">
        <v>25</v>
      </c>
      <c r="F5" s="125" t="s">
        <v>26</v>
      </c>
      <c r="G5" s="135" t="s">
        <v>32</v>
      </c>
      <c r="H5" s="145">
        <v>1</v>
      </c>
      <c r="I5" s="137"/>
      <c r="J5" s="137"/>
      <c r="K5" s="139"/>
      <c r="L5" s="141"/>
      <c r="M5" s="143"/>
      <c r="N5" s="143"/>
      <c r="O5" s="131"/>
      <c r="P5" s="21"/>
      <c r="Q5" s="33"/>
      <c r="R5" s="22"/>
      <c r="S5" s="56"/>
      <c r="T5" s="107"/>
      <c r="U5" s="108"/>
      <c r="V5" s="56"/>
      <c r="W5" s="53">
        <v>2147</v>
      </c>
      <c r="X5" s="133"/>
    </row>
    <row r="6" spans="2:24" ht="24.9" customHeight="1" thickBot="1" x14ac:dyDescent="0.35">
      <c r="B6" s="124"/>
      <c r="C6" s="126"/>
      <c r="D6" s="128"/>
      <c r="E6" s="130"/>
      <c r="F6" s="126"/>
      <c r="G6" s="136"/>
      <c r="H6" s="146"/>
      <c r="I6" s="138"/>
      <c r="J6" s="138"/>
      <c r="K6" s="140"/>
      <c r="L6" s="142"/>
      <c r="M6" s="144"/>
      <c r="N6" s="144"/>
      <c r="O6" s="132"/>
      <c r="P6" s="23"/>
      <c r="Q6" s="34"/>
      <c r="R6" s="24"/>
      <c r="S6" s="50"/>
      <c r="T6" s="107"/>
      <c r="U6" s="108"/>
      <c r="V6" s="50"/>
      <c r="W6" s="54">
        <v>7216</v>
      </c>
      <c r="X6" s="134"/>
    </row>
    <row r="7" spans="2:24" ht="24.9" customHeight="1" thickBot="1" x14ac:dyDescent="0.35">
      <c r="B7" s="2"/>
      <c r="C7" s="147" t="s">
        <v>35</v>
      </c>
      <c r="D7" s="4">
        <v>45967</v>
      </c>
      <c r="E7" s="5" t="s">
        <v>19</v>
      </c>
      <c r="F7" s="3" t="s">
        <v>20</v>
      </c>
      <c r="G7" s="6" t="s">
        <v>34</v>
      </c>
      <c r="H7" s="9">
        <v>2</v>
      </c>
      <c r="I7" s="10"/>
      <c r="J7" s="10">
        <v>1</v>
      </c>
      <c r="K7" s="11"/>
      <c r="L7" s="15"/>
      <c r="M7" s="16"/>
      <c r="N7" s="31"/>
      <c r="O7" s="17"/>
      <c r="P7" s="23" t="s">
        <v>7</v>
      </c>
      <c r="Q7" s="34">
        <v>70</v>
      </c>
      <c r="R7" s="24" t="s">
        <v>36</v>
      </c>
      <c r="S7" s="50"/>
      <c r="T7" s="107"/>
      <c r="U7" s="108"/>
      <c r="V7" s="50"/>
      <c r="W7" s="54">
        <v>4210</v>
      </c>
      <c r="X7" s="29"/>
    </row>
    <row r="8" spans="2:24" ht="24.9" customHeight="1" thickBot="1" x14ac:dyDescent="0.35">
      <c r="B8" s="2"/>
      <c r="C8" s="126"/>
      <c r="D8" s="4"/>
      <c r="E8" s="5"/>
      <c r="F8" s="3"/>
      <c r="G8" s="6"/>
      <c r="H8" s="9"/>
      <c r="I8" s="10"/>
      <c r="J8" s="10"/>
      <c r="K8" s="11"/>
      <c r="L8" s="15"/>
      <c r="M8" s="16"/>
      <c r="N8" s="31"/>
      <c r="O8" s="17"/>
      <c r="P8" s="23" t="s">
        <v>8</v>
      </c>
      <c r="Q8" s="34">
        <v>15</v>
      </c>
      <c r="R8" s="24" t="s">
        <v>36</v>
      </c>
      <c r="S8" s="50"/>
      <c r="T8" s="107"/>
      <c r="U8" s="108"/>
      <c r="V8" s="50"/>
      <c r="W8" s="54">
        <v>4338</v>
      </c>
      <c r="X8" s="30"/>
    </row>
    <row r="9" spans="2:24" ht="24.9" customHeight="1" thickBot="1" x14ac:dyDescent="0.35">
      <c r="B9" s="2"/>
      <c r="C9" s="3" t="s">
        <v>37</v>
      </c>
      <c r="D9" s="4">
        <v>45969</v>
      </c>
      <c r="E9" s="5" t="s">
        <v>23</v>
      </c>
      <c r="F9" s="3" t="s">
        <v>38</v>
      </c>
      <c r="G9" s="6" t="s">
        <v>39</v>
      </c>
      <c r="H9" s="9">
        <v>1</v>
      </c>
      <c r="I9" s="10"/>
      <c r="J9" s="10">
        <v>1</v>
      </c>
      <c r="K9" s="11"/>
      <c r="L9" s="15"/>
      <c r="M9" s="16"/>
      <c r="N9" s="31"/>
      <c r="O9" s="17"/>
      <c r="P9" s="23" t="s">
        <v>40</v>
      </c>
      <c r="Q9" s="34">
        <v>14.5</v>
      </c>
      <c r="R9" s="24" t="s">
        <v>41</v>
      </c>
      <c r="S9" s="50"/>
      <c r="T9" s="107"/>
      <c r="U9" s="108"/>
      <c r="V9" s="50"/>
      <c r="W9" s="54"/>
      <c r="X9" s="30"/>
    </row>
    <row r="10" spans="2:24" ht="24.9" customHeight="1" thickBot="1" x14ac:dyDescent="0.35">
      <c r="B10" s="2"/>
      <c r="C10" s="3" t="s">
        <v>42</v>
      </c>
      <c r="D10" s="4">
        <v>45971</v>
      </c>
      <c r="E10" s="5" t="s">
        <v>25</v>
      </c>
      <c r="F10" s="3" t="s">
        <v>26</v>
      </c>
      <c r="G10" s="6"/>
      <c r="H10" s="9">
        <v>1</v>
      </c>
      <c r="I10" s="10"/>
      <c r="J10" s="10">
        <v>1</v>
      </c>
      <c r="K10" s="11"/>
      <c r="L10" s="15"/>
      <c r="M10" s="16"/>
      <c r="N10" s="31"/>
      <c r="O10" s="17"/>
      <c r="P10" s="23" t="s">
        <v>40</v>
      </c>
      <c r="Q10" s="34">
        <v>9.1999999999999993</v>
      </c>
      <c r="R10" s="24" t="s">
        <v>41</v>
      </c>
      <c r="S10" s="50"/>
      <c r="T10" s="107"/>
      <c r="U10" s="108"/>
      <c r="V10" s="50"/>
      <c r="W10" s="54"/>
      <c r="X10" s="29"/>
    </row>
    <row r="11" spans="2:24" ht="24.9" customHeight="1" thickBot="1" x14ac:dyDescent="0.35">
      <c r="B11" s="2"/>
      <c r="C11" s="3" t="s">
        <v>43</v>
      </c>
      <c r="D11" s="4">
        <v>45970</v>
      </c>
      <c r="E11" s="5" t="s">
        <v>23</v>
      </c>
      <c r="F11" s="3" t="s">
        <v>20</v>
      </c>
      <c r="G11" s="6" t="s">
        <v>24</v>
      </c>
      <c r="H11" s="9">
        <v>1</v>
      </c>
      <c r="I11" s="10"/>
      <c r="J11" s="10">
        <v>1</v>
      </c>
      <c r="K11" s="11"/>
      <c r="L11" s="15"/>
      <c r="M11" s="16"/>
      <c r="N11" s="31"/>
      <c r="O11" s="17"/>
      <c r="P11" s="23"/>
      <c r="Q11" s="34"/>
      <c r="R11" s="24"/>
      <c r="S11" s="50"/>
      <c r="T11" s="107"/>
      <c r="U11" s="108"/>
      <c r="V11" s="50"/>
      <c r="W11" s="54"/>
      <c r="X11" s="30"/>
    </row>
    <row r="12" spans="2:24" ht="24.9" customHeight="1" thickBot="1" x14ac:dyDescent="0.35">
      <c r="B12" s="2"/>
      <c r="C12" s="3" t="s">
        <v>45</v>
      </c>
      <c r="D12" s="4">
        <v>45970</v>
      </c>
      <c r="E12" s="5" t="s">
        <v>21</v>
      </c>
      <c r="F12" s="3" t="s">
        <v>20</v>
      </c>
      <c r="G12" s="6" t="s">
        <v>22</v>
      </c>
      <c r="H12" s="44">
        <v>1</v>
      </c>
      <c r="I12" s="10"/>
      <c r="J12" s="45">
        <v>1</v>
      </c>
      <c r="K12" s="11"/>
      <c r="L12" s="15"/>
      <c r="M12" s="16"/>
      <c r="N12" s="31"/>
      <c r="O12" s="17"/>
      <c r="P12" s="23" t="s">
        <v>44</v>
      </c>
      <c r="Q12" s="34">
        <v>4.5</v>
      </c>
      <c r="R12" s="24" t="s">
        <v>41</v>
      </c>
      <c r="S12" s="50"/>
      <c r="T12" s="107"/>
      <c r="U12" s="108"/>
      <c r="V12" s="50"/>
      <c r="W12" s="54"/>
      <c r="X12" s="29"/>
    </row>
    <row r="13" spans="2:24" ht="24.9" customHeight="1" thickBot="1" x14ac:dyDescent="0.35">
      <c r="B13" s="2"/>
      <c r="C13" s="3" t="s">
        <v>46</v>
      </c>
      <c r="D13" s="4">
        <v>45986</v>
      </c>
      <c r="E13" s="5" t="s">
        <v>27</v>
      </c>
      <c r="F13" s="3" t="s">
        <v>26</v>
      </c>
      <c r="G13" s="6" t="s">
        <v>28</v>
      </c>
      <c r="H13" s="44">
        <v>0.5</v>
      </c>
      <c r="I13" s="10"/>
      <c r="J13" s="45">
        <v>0.5</v>
      </c>
      <c r="K13" s="11"/>
      <c r="L13" s="57">
        <v>0.5</v>
      </c>
      <c r="M13" s="16"/>
      <c r="N13" s="31">
        <v>0.5</v>
      </c>
      <c r="O13" s="17"/>
      <c r="P13" s="23" t="s">
        <v>8</v>
      </c>
      <c r="Q13" s="34">
        <v>19.2</v>
      </c>
      <c r="R13" s="24" t="s">
        <v>36</v>
      </c>
      <c r="S13" s="50" t="s">
        <v>8</v>
      </c>
      <c r="T13" s="107">
        <v>19.2</v>
      </c>
      <c r="U13" s="108"/>
      <c r="V13" s="50"/>
      <c r="W13" s="54">
        <v>3286.47</v>
      </c>
      <c r="X13" s="29"/>
    </row>
    <row r="14" spans="2:24" ht="24.9" customHeight="1" thickBot="1" x14ac:dyDescent="0.35">
      <c r="B14" s="2"/>
      <c r="C14" s="3" t="s">
        <v>47</v>
      </c>
      <c r="D14" s="4">
        <v>45986</v>
      </c>
      <c r="E14" s="5" t="s">
        <v>21</v>
      </c>
      <c r="F14" s="3" t="s">
        <v>20</v>
      </c>
      <c r="G14" s="6" t="s">
        <v>29</v>
      </c>
      <c r="H14" s="9">
        <v>0.5</v>
      </c>
      <c r="I14" s="10"/>
      <c r="J14" s="10">
        <v>0.5</v>
      </c>
      <c r="K14" s="11"/>
      <c r="L14" s="15"/>
      <c r="M14" s="16"/>
      <c r="N14" s="31"/>
      <c r="O14" s="17"/>
      <c r="P14" s="23" t="s">
        <v>8</v>
      </c>
      <c r="Q14" s="34">
        <v>14.4</v>
      </c>
      <c r="R14" s="24" t="s">
        <v>36</v>
      </c>
      <c r="S14" s="50"/>
      <c r="T14" s="107"/>
      <c r="U14" s="108"/>
      <c r="V14" s="50"/>
      <c r="W14" s="54"/>
      <c r="X14" s="30"/>
    </row>
    <row r="15" spans="2:24" ht="24.9" customHeight="1" thickBot="1" x14ac:dyDescent="0.35">
      <c r="B15" s="2"/>
      <c r="C15" s="3" t="s">
        <v>48</v>
      </c>
      <c r="D15" s="4">
        <v>45988</v>
      </c>
      <c r="E15" s="5" t="s">
        <v>21</v>
      </c>
      <c r="F15" s="3" t="s">
        <v>30</v>
      </c>
      <c r="G15" s="6" t="s">
        <v>31</v>
      </c>
      <c r="H15" s="9">
        <v>1</v>
      </c>
      <c r="I15" s="10"/>
      <c r="J15" s="10">
        <v>1</v>
      </c>
      <c r="K15" s="11"/>
      <c r="L15" s="15"/>
      <c r="M15" s="16"/>
      <c r="N15" s="31"/>
      <c r="O15" s="17"/>
      <c r="P15" s="23" t="s">
        <v>44</v>
      </c>
      <c r="Q15" s="34">
        <v>4.68</v>
      </c>
      <c r="R15" s="24" t="s">
        <v>41</v>
      </c>
      <c r="S15" s="50"/>
      <c r="T15" s="107"/>
      <c r="U15" s="108"/>
      <c r="V15" s="50"/>
      <c r="W15" s="54"/>
      <c r="X15" s="29"/>
    </row>
    <row r="16" spans="2:24" ht="24.9" customHeight="1" thickBot="1" x14ac:dyDescent="0.35">
      <c r="B16" s="2"/>
      <c r="C16" s="147" t="s">
        <v>49</v>
      </c>
      <c r="D16" s="4">
        <v>45989</v>
      </c>
      <c r="E16" s="5" t="s">
        <v>25</v>
      </c>
      <c r="F16" s="3" t="s">
        <v>26</v>
      </c>
      <c r="G16" s="6" t="s">
        <v>50</v>
      </c>
      <c r="H16" s="9">
        <v>2</v>
      </c>
      <c r="I16" s="10"/>
      <c r="J16" s="10">
        <v>2</v>
      </c>
      <c r="K16" s="11"/>
      <c r="L16" s="15"/>
      <c r="M16" s="16"/>
      <c r="N16" s="31"/>
      <c r="O16" s="17"/>
      <c r="P16" s="23" t="s">
        <v>51</v>
      </c>
      <c r="Q16" s="34">
        <v>35.82</v>
      </c>
      <c r="R16" s="24" t="s">
        <v>41</v>
      </c>
      <c r="S16" s="50"/>
      <c r="T16" s="107"/>
      <c r="U16" s="108"/>
      <c r="V16" s="50"/>
      <c r="W16" s="54"/>
      <c r="X16" s="29"/>
    </row>
    <row r="17" spans="2:24" ht="24.9" customHeight="1" thickBot="1" x14ac:dyDescent="0.35">
      <c r="B17" s="2"/>
      <c r="C17" s="126"/>
      <c r="D17" s="4"/>
      <c r="E17" s="5"/>
      <c r="F17" s="3"/>
      <c r="G17" s="6"/>
      <c r="H17" s="9"/>
      <c r="I17" s="10"/>
      <c r="J17" s="10"/>
      <c r="K17" s="11"/>
      <c r="L17" s="15"/>
      <c r="M17" s="16"/>
      <c r="N17" s="31"/>
      <c r="O17" s="17"/>
      <c r="P17" s="23" t="s">
        <v>52</v>
      </c>
      <c r="Q17" s="34">
        <v>43.2</v>
      </c>
      <c r="R17" s="24" t="s">
        <v>36</v>
      </c>
      <c r="S17" s="50"/>
      <c r="T17" s="107"/>
      <c r="U17" s="108"/>
      <c r="V17" s="50"/>
      <c r="W17" s="54"/>
      <c r="X17" s="30"/>
    </row>
    <row r="18" spans="2:24" ht="24.9" customHeight="1" thickBot="1" x14ac:dyDescent="0.35">
      <c r="B18" s="2"/>
      <c r="C18" s="3" t="s">
        <v>53</v>
      </c>
      <c r="D18" s="4">
        <v>45990</v>
      </c>
      <c r="E18" s="5" t="s">
        <v>21</v>
      </c>
      <c r="F18" s="3" t="s">
        <v>20</v>
      </c>
      <c r="G18" s="6" t="s">
        <v>29</v>
      </c>
      <c r="H18" s="9">
        <v>1</v>
      </c>
      <c r="I18" s="10"/>
      <c r="J18" s="10">
        <v>1</v>
      </c>
      <c r="K18" s="11"/>
      <c r="L18" s="15">
        <v>0.5</v>
      </c>
      <c r="M18" s="16"/>
      <c r="N18" s="31">
        <v>0.5</v>
      </c>
      <c r="O18" s="17"/>
      <c r="P18" s="23" t="s">
        <v>54</v>
      </c>
      <c r="Q18" s="34">
        <v>19.2</v>
      </c>
      <c r="R18" s="24" t="s">
        <v>36</v>
      </c>
      <c r="S18" s="50" t="s">
        <v>54</v>
      </c>
      <c r="T18" s="107">
        <v>19.2</v>
      </c>
      <c r="U18" s="108"/>
      <c r="V18" s="50" t="s">
        <v>36</v>
      </c>
      <c r="W18" s="54"/>
      <c r="X18" s="29"/>
    </row>
    <row r="19" spans="2:24" ht="24.9" customHeight="1" thickBot="1" x14ac:dyDescent="0.35">
      <c r="B19" s="2"/>
      <c r="C19" s="147" t="s">
        <v>55</v>
      </c>
      <c r="D19" s="4">
        <v>45992</v>
      </c>
      <c r="E19" s="5" t="s">
        <v>27</v>
      </c>
      <c r="F19" s="3" t="s">
        <v>56</v>
      </c>
      <c r="G19" s="6" t="s">
        <v>57</v>
      </c>
      <c r="H19" s="9">
        <v>1</v>
      </c>
      <c r="I19" s="10"/>
      <c r="J19" s="10">
        <v>1</v>
      </c>
      <c r="K19" s="11"/>
      <c r="L19" s="15"/>
      <c r="M19" s="16"/>
      <c r="N19" s="31"/>
      <c r="O19" s="17"/>
      <c r="P19" s="23" t="s">
        <v>52</v>
      </c>
      <c r="Q19" s="34">
        <v>2.6</v>
      </c>
      <c r="R19" s="24" t="s">
        <v>36</v>
      </c>
      <c r="S19" s="50"/>
      <c r="T19" s="107"/>
      <c r="U19" s="108"/>
      <c r="V19" s="50"/>
      <c r="W19" s="54"/>
      <c r="X19" s="29"/>
    </row>
    <row r="20" spans="2:24" ht="24.9" customHeight="1" thickBot="1" x14ac:dyDescent="0.35">
      <c r="B20" s="2"/>
      <c r="C20" s="126"/>
      <c r="D20" s="4"/>
      <c r="E20" s="5"/>
      <c r="F20" s="3"/>
      <c r="G20" s="6"/>
      <c r="H20" s="9"/>
      <c r="I20" s="10"/>
      <c r="J20" s="10"/>
      <c r="K20" s="11"/>
      <c r="L20" s="15"/>
      <c r="M20" s="16"/>
      <c r="N20" s="31"/>
      <c r="O20" s="17"/>
      <c r="P20" s="23" t="s">
        <v>7</v>
      </c>
      <c r="Q20" s="34">
        <v>9.6</v>
      </c>
      <c r="R20" s="24" t="s">
        <v>36</v>
      </c>
      <c r="S20" s="50"/>
      <c r="T20" s="107"/>
      <c r="U20" s="108"/>
      <c r="V20" s="50"/>
      <c r="W20" s="54"/>
      <c r="X20" s="29"/>
    </row>
    <row r="21" spans="2:24" ht="24.9" customHeight="1" thickBot="1" x14ac:dyDescent="0.35">
      <c r="B21" s="2"/>
      <c r="C21" s="3" t="s">
        <v>58</v>
      </c>
      <c r="D21" s="4">
        <v>45993</v>
      </c>
      <c r="E21" s="5" t="s">
        <v>21</v>
      </c>
      <c r="F21" s="3" t="s">
        <v>30</v>
      </c>
      <c r="G21" s="6" t="s">
        <v>59</v>
      </c>
      <c r="H21" s="9">
        <v>3</v>
      </c>
      <c r="I21" s="10"/>
      <c r="J21" s="10"/>
      <c r="K21" s="11"/>
      <c r="L21" s="15"/>
      <c r="M21" s="16"/>
      <c r="N21" s="31"/>
      <c r="O21" s="17"/>
      <c r="P21" s="23" t="s">
        <v>44</v>
      </c>
      <c r="Q21" s="34">
        <v>31.45</v>
      </c>
      <c r="R21" s="24" t="s">
        <v>41</v>
      </c>
      <c r="S21" s="50"/>
      <c r="T21" s="107"/>
      <c r="U21" s="108"/>
      <c r="V21" s="50"/>
      <c r="W21" s="54"/>
      <c r="X21" s="29"/>
    </row>
    <row r="22" spans="2:24" ht="24.9" customHeight="1" thickBot="1" x14ac:dyDescent="0.35">
      <c r="B22" s="2"/>
      <c r="C22" s="3"/>
      <c r="D22" s="4"/>
      <c r="E22" s="5"/>
      <c r="F22" s="3"/>
      <c r="G22" s="6"/>
      <c r="H22" s="9"/>
      <c r="I22" s="10"/>
      <c r="J22" s="10"/>
      <c r="K22" s="11"/>
      <c r="L22" s="15"/>
      <c r="M22" s="16"/>
      <c r="N22" s="31"/>
      <c r="O22" s="17"/>
      <c r="P22" s="23"/>
      <c r="Q22" s="34"/>
      <c r="R22" s="24"/>
      <c r="S22" s="50"/>
      <c r="T22" s="107"/>
      <c r="U22" s="108"/>
      <c r="V22" s="50"/>
      <c r="W22" s="54"/>
      <c r="X22" s="30"/>
    </row>
    <row r="23" spans="2:24" ht="24.9" customHeight="1" thickBot="1" x14ac:dyDescent="0.35">
      <c r="B23" s="7"/>
      <c r="C23" s="3"/>
      <c r="D23" s="4"/>
      <c r="E23" s="5"/>
      <c r="F23" s="3"/>
      <c r="G23" s="6"/>
      <c r="H23" s="12"/>
      <c r="I23" s="13"/>
      <c r="J23" s="13"/>
      <c r="K23" s="14"/>
      <c r="L23" s="18"/>
      <c r="M23" s="19"/>
      <c r="N23" s="32"/>
      <c r="O23" s="20"/>
      <c r="P23" s="25"/>
      <c r="Q23" s="35"/>
      <c r="R23" s="26"/>
      <c r="S23" s="51"/>
      <c r="T23" s="107"/>
      <c r="U23" s="108"/>
      <c r="V23" s="51"/>
      <c r="W23" s="55"/>
      <c r="X23" s="1"/>
    </row>
    <row r="24" spans="2:24" ht="24.9" customHeight="1" thickBot="1" x14ac:dyDescent="0.35">
      <c r="B24" s="7"/>
      <c r="C24" s="3"/>
      <c r="D24" s="4"/>
      <c r="E24" s="5"/>
      <c r="F24" s="3"/>
      <c r="G24" s="6"/>
      <c r="H24" s="12"/>
      <c r="I24" s="13"/>
      <c r="J24" s="13"/>
      <c r="K24" s="14"/>
      <c r="L24" s="18"/>
      <c r="M24" s="19"/>
      <c r="N24" s="32"/>
      <c r="O24" s="20"/>
      <c r="P24" s="25"/>
      <c r="Q24" s="35"/>
      <c r="R24" s="26"/>
      <c r="S24" s="51"/>
      <c r="T24" s="107"/>
      <c r="U24" s="108"/>
      <c r="V24" s="51"/>
      <c r="W24" s="55"/>
      <c r="X24" s="1"/>
    </row>
    <row r="25" spans="2:24" ht="24.9" customHeight="1" thickBot="1" x14ac:dyDescent="0.35">
      <c r="B25" s="7"/>
      <c r="C25" s="3">
        <v>17</v>
      </c>
      <c r="D25" s="4">
        <v>46007</v>
      </c>
      <c r="E25" s="5" t="s">
        <v>23</v>
      </c>
      <c r="F25" s="3" t="s">
        <v>20</v>
      </c>
      <c r="G25" s="6" t="s">
        <v>60</v>
      </c>
      <c r="H25" s="12">
        <v>2</v>
      </c>
      <c r="I25" s="13"/>
      <c r="J25" s="13">
        <v>1</v>
      </c>
      <c r="K25" s="14"/>
      <c r="L25" s="18"/>
      <c r="M25" s="19"/>
      <c r="N25" s="32"/>
      <c r="O25" s="20"/>
      <c r="P25" s="25" t="s">
        <v>7</v>
      </c>
      <c r="Q25" s="35">
        <v>2</v>
      </c>
      <c r="R25" s="26" t="s">
        <v>36</v>
      </c>
      <c r="S25" s="51"/>
      <c r="T25" s="107"/>
      <c r="U25" s="108"/>
      <c r="V25" s="51"/>
      <c r="W25" s="55"/>
      <c r="X25" s="1"/>
    </row>
    <row r="26" spans="2:24" ht="24.9" customHeight="1" thickBot="1" x14ac:dyDescent="0.35">
      <c r="B26" s="7"/>
      <c r="C26" s="3"/>
      <c r="D26" s="4"/>
      <c r="E26" s="5"/>
      <c r="F26" s="3"/>
      <c r="G26" s="6"/>
      <c r="H26" s="12"/>
      <c r="I26" s="13"/>
      <c r="J26" s="13"/>
      <c r="K26" s="14"/>
      <c r="L26" s="18"/>
      <c r="M26" s="19"/>
      <c r="N26" s="32"/>
      <c r="O26" s="20"/>
      <c r="P26" s="25" t="s">
        <v>52</v>
      </c>
      <c r="Q26" s="35">
        <v>9.6999999999999993</v>
      </c>
      <c r="R26" s="26" t="s">
        <v>36</v>
      </c>
      <c r="S26" s="51"/>
      <c r="T26" s="107"/>
      <c r="U26" s="108"/>
      <c r="V26" s="51"/>
      <c r="W26" s="55"/>
      <c r="X26" s="1"/>
    </row>
    <row r="27" spans="2:24" ht="24.9" customHeight="1" thickBot="1" x14ac:dyDescent="0.35">
      <c r="B27" s="7"/>
      <c r="C27" s="3"/>
      <c r="D27" s="4"/>
      <c r="E27" s="5"/>
      <c r="F27" s="3"/>
      <c r="G27" s="6"/>
      <c r="H27" s="12"/>
      <c r="I27" s="13"/>
      <c r="J27" s="13"/>
      <c r="K27" s="14"/>
      <c r="L27" s="18"/>
      <c r="M27" s="19"/>
      <c r="N27" s="32"/>
      <c r="O27" s="20"/>
      <c r="P27" s="25" t="s">
        <v>8</v>
      </c>
      <c r="Q27" s="35">
        <v>4.8499999999999996</v>
      </c>
      <c r="R27" s="26" t="s">
        <v>36</v>
      </c>
      <c r="S27" s="51"/>
      <c r="T27" s="107"/>
      <c r="U27" s="108"/>
      <c r="V27" s="51"/>
      <c r="W27" s="55"/>
      <c r="X27" s="1"/>
    </row>
    <row r="28" spans="2:24" ht="24.9" customHeight="1" thickBot="1" x14ac:dyDescent="0.35">
      <c r="B28" s="7"/>
      <c r="C28" s="3"/>
      <c r="D28" s="4"/>
      <c r="E28" s="5"/>
      <c r="F28" s="3"/>
      <c r="G28" s="6"/>
      <c r="H28" s="12"/>
      <c r="I28" s="13"/>
      <c r="J28" s="13"/>
      <c r="K28" s="14"/>
      <c r="L28" s="18"/>
      <c r="M28" s="19"/>
      <c r="N28" s="32"/>
      <c r="O28" s="20"/>
      <c r="P28" s="25" t="s">
        <v>51</v>
      </c>
      <c r="Q28" s="35">
        <v>6.5</v>
      </c>
      <c r="R28" s="26" t="s">
        <v>41</v>
      </c>
      <c r="S28" s="51"/>
      <c r="T28" s="107"/>
      <c r="U28" s="108"/>
      <c r="V28" s="51"/>
      <c r="W28" s="55"/>
      <c r="X28" s="1"/>
    </row>
    <row r="29" spans="2:24" ht="24.9" customHeight="1" thickBot="1" x14ac:dyDescent="0.35">
      <c r="B29" s="7"/>
      <c r="C29" s="3" t="s">
        <v>61</v>
      </c>
      <c r="D29" s="4">
        <v>46007</v>
      </c>
      <c r="E29" s="5" t="s">
        <v>21</v>
      </c>
      <c r="F29" s="3" t="s">
        <v>30</v>
      </c>
      <c r="G29" s="6" t="s">
        <v>62</v>
      </c>
      <c r="H29" s="12">
        <v>1</v>
      </c>
      <c r="I29" s="13"/>
      <c r="J29" s="13">
        <v>1</v>
      </c>
      <c r="K29" s="14"/>
      <c r="L29" s="18"/>
      <c r="M29" s="19"/>
      <c r="N29" s="32"/>
      <c r="O29" s="20"/>
      <c r="P29" s="25"/>
      <c r="Q29" s="35"/>
      <c r="R29" s="26"/>
      <c r="S29" s="51"/>
      <c r="T29" s="107"/>
      <c r="U29" s="108"/>
      <c r="V29" s="51"/>
      <c r="W29" s="55"/>
      <c r="X29" s="1"/>
    </row>
    <row r="30" spans="2:24" ht="24.9" customHeight="1" thickBot="1" x14ac:dyDescent="0.35">
      <c r="B30" s="7"/>
      <c r="C30" s="3" t="s">
        <v>63</v>
      </c>
      <c r="D30" s="4">
        <v>46007</v>
      </c>
      <c r="E30" s="5" t="s">
        <v>25</v>
      </c>
      <c r="F30" s="3" t="s">
        <v>26</v>
      </c>
      <c r="G30" s="6" t="s">
        <v>64</v>
      </c>
      <c r="H30" s="12">
        <v>6</v>
      </c>
      <c r="I30" s="13"/>
      <c r="J30" s="13">
        <v>4</v>
      </c>
      <c r="K30" s="14"/>
      <c r="L30" s="18"/>
      <c r="M30" s="19"/>
      <c r="N30" s="32"/>
      <c r="O30" s="20"/>
      <c r="P30" s="25" t="s">
        <v>7</v>
      </c>
      <c r="Q30" s="35">
        <v>121.5</v>
      </c>
      <c r="R30" s="26" t="s">
        <v>36</v>
      </c>
      <c r="S30" s="51"/>
      <c r="T30" s="107"/>
      <c r="U30" s="108"/>
      <c r="V30" s="51"/>
      <c r="W30" s="55"/>
      <c r="X30" s="1"/>
    </row>
    <row r="31" spans="2:24" ht="24.9" customHeight="1" thickBot="1" x14ac:dyDescent="0.35">
      <c r="B31" s="7"/>
      <c r="C31" s="3"/>
      <c r="D31" s="4"/>
      <c r="E31" s="5"/>
      <c r="F31" s="3"/>
      <c r="G31" s="6"/>
      <c r="H31" s="12"/>
      <c r="I31" s="13"/>
      <c r="J31" s="13"/>
      <c r="K31" s="14"/>
      <c r="L31" s="18"/>
      <c r="M31" s="19"/>
      <c r="N31" s="32"/>
      <c r="O31" s="20"/>
      <c r="P31" s="25" t="s">
        <v>51</v>
      </c>
      <c r="Q31" s="35">
        <v>200.64</v>
      </c>
      <c r="R31" s="26" t="s">
        <v>41</v>
      </c>
      <c r="S31" s="51"/>
      <c r="T31" s="107"/>
      <c r="U31" s="108"/>
      <c r="V31" s="51"/>
      <c r="W31" s="55"/>
      <c r="X31" s="1"/>
    </row>
    <row r="32" spans="2:24" ht="24.9" customHeight="1" thickBot="1" x14ac:dyDescent="0.35">
      <c r="B32" s="7"/>
      <c r="C32" s="3" t="s">
        <v>65</v>
      </c>
      <c r="D32" s="4">
        <v>46008</v>
      </c>
      <c r="E32" s="5" t="s">
        <v>25</v>
      </c>
      <c r="F32" s="3" t="s">
        <v>66</v>
      </c>
      <c r="G32" s="6" t="s">
        <v>67</v>
      </c>
      <c r="H32" s="12">
        <v>2</v>
      </c>
      <c r="I32" s="13"/>
      <c r="J32" s="13"/>
      <c r="K32" s="14"/>
      <c r="L32" s="18">
        <v>1</v>
      </c>
      <c r="M32" s="19"/>
      <c r="N32" s="32"/>
      <c r="O32" s="20"/>
      <c r="P32" s="25"/>
      <c r="Q32" s="35"/>
      <c r="R32" s="26"/>
      <c r="S32" s="51"/>
      <c r="T32" s="107"/>
      <c r="U32" s="108"/>
      <c r="V32" s="51"/>
      <c r="W32" s="55">
        <v>2922</v>
      </c>
      <c r="X32" s="1"/>
    </row>
    <row r="33" spans="2:24" ht="24.9" customHeight="1" thickBot="1" x14ac:dyDescent="0.35">
      <c r="B33" s="7"/>
      <c r="C33" s="3" t="s">
        <v>68</v>
      </c>
      <c r="D33" s="4">
        <v>46008</v>
      </c>
      <c r="E33" s="5" t="s">
        <v>23</v>
      </c>
      <c r="F33" s="3" t="s">
        <v>69</v>
      </c>
      <c r="G33" s="6" t="s">
        <v>70</v>
      </c>
      <c r="H33" s="12">
        <v>1</v>
      </c>
      <c r="I33" s="13"/>
      <c r="J33" s="13">
        <v>1</v>
      </c>
      <c r="K33" s="14"/>
      <c r="L33" s="18"/>
      <c r="M33" s="19"/>
      <c r="N33" s="32"/>
      <c r="O33" s="20"/>
      <c r="P33" s="25"/>
      <c r="Q33" s="35"/>
      <c r="R33" s="26"/>
      <c r="S33" s="51"/>
      <c r="T33" s="107"/>
      <c r="U33" s="108"/>
      <c r="V33" s="51"/>
      <c r="W33" s="55"/>
      <c r="X33" s="1"/>
    </row>
    <row r="34" spans="2:24" ht="24.9" customHeight="1" thickBot="1" x14ac:dyDescent="0.35">
      <c r="B34" s="7"/>
      <c r="C34" s="3" t="s">
        <v>71</v>
      </c>
      <c r="D34" s="4">
        <v>46008</v>
      </c>
      <c r="E34" s="5" t="s">
        <v>21</v>
      </c>
      <c r="F34" s="3" t="s">
        <v>20</v>
      </c>
      <c r="G34" s="6" t="s">
        <v>72</v>
      </c>
      <c r="H34" s="12">
        <v>1</v>
      </c>
      <c r="I34" s="13"/>
      <c r="J34" s="13">
        <v>1</v>
      </c>
      <c r="K34" s="14"/>
      <c r="L34" s="18"/>
      <c r="M34" s="19"/>
      <c r="N34" s="32"/>
      <c r="O34" s="20"/>
      <c r="P34" s="25"/>
      <c r="Q34" s="35"/>
      <c r="R34" s="26"/>
      <c r="S34" s="51"/>
      <c r="T34" s="107"/>
      <c r="U34" s="108"/>
      <c r="V34" s="51"/>
      <c r="W34" s="55">
        <v>2922</v>
      </c>
      <c r="X34" s="1"/>
    </row>
    <row r="35" spans="2:24" ht="24.9" customHeight="1" thickBot="1" x14ac:dyDescent="0.35">
      <c r="B35" s="7"/>
      <c r="C35" s="3" t="s">
        <v>73</v>
      </c>
      <c r="D35" s="4">
        <v>46009</v>
      </c>
      <c r="E35" s="5" t="s">
        <v>27</v>
      </c>
      <c r="F35" s="3" t="s">
        <v>56</v>
      </c>
      <c r="G35" s="6" t="s">
        <v>74</v>
      </c>
      <c r="H35" s="12">
        <v>2</v>
      </c>
      <c r="I35" s="13"/>
      <c r="J35" s="13"/>
      <c r="K35" s="14"/>
      <c r="L35" s="18">
        <v>1</v>
      </c>
      <c r="M35" s="19"/>
      <c r="N35" s="32"/>
      <c r="O35" s="20"/>
      <c r="P35" s="25"/>
      <c r="Q35" s="35"/>
      <c r="R35" s="26"/>
      <c r="S35" s="51"/>
      <c r="T35" s="107"/>
      <c r="U35" s="108"/>
      <c r="V35" s="51"/>
      <c r="W35" s="55"/>
      <c r="X35" s="1"/>
    </row>
    <row r="36" spans="2:24" ht="24.9" customHeight="1" thickBot="1" x14ac:dyDescent="0.35">
      <c r="B36" s="7"/>
      <c r="C36" s="3" t="s">
        <v>75</v>
      </c>
      <c r="D36" s="4">
        <v>46009</v>
      </c>
      <c r="E36" s="5" t="s">
        <v>23</v>
      </c>
      <c r="F36" s="3" t="s">
        <v>20</v>
      </c>
      <c r="G36" s="6" t="s">
        <v>76</v>
      </c>
      <c r="H36" s="12">
        <v>1</v>
      </c>
      <c r="I36" s="13"/>
      <c r="J36" s="13">
        <v>1</v>
      </c>
      <c r="K36" s="14"/>
      <c r="L36" s="18">
        <v>1</v>
      </c>
      <c r="M36" s="19"/>
      <c r="N36" s="32">
        <v>1</v>
      </c>
      <c r="O36" s="20"/>
      <c r="P36" s="25"/>
      <c r="Q36" s="35"/>
      <c r="R36" s="26"/>
      <c r="S36" s="51"/>
      <c r="T36" s="107"/>
      <c r="U36" s="108"/>
      <c r="V36" s="51"/>
      <c r="W36" s="55"/>
      <c r="X36" s="1"/>
    </row>
    <row r="37" spans="2:24" ht="24.9" customHeight="1" thickBot="1" x14ac:dyDescent="0.35">
      <c r="B37" s="7"/>
      <c r="C37" s="3" t="s">
        <v>78</v>
      </c>
      <c r="D37" s="4">
        <v>46010</v>
      </c>
      <c r="E37" s="5" t="s">
        <v>27</v>
      </c>
      <c r="F37" s="3" t="s">
        <v>56</v>
      </c>
      <c r="G37" s="6" t="s">
        <v>77</v>
      </c>
      <c r="H37" s="12">
        <v>1</v>
      </c>
      <c r="I37" s="13"/>
      <c r="J37" s="13">
        <v>1</v>
      </c>
      <c r="K37" s="14"/>
      <c r="L37" s="18"/>
      <c r="M37" s="19"/>
      <c r="N37" s="32"/>
      <c r="O37" s="20"/>
      <c r="P37" s="25" t="s">
        <v>7</v>
      </c>
      <c r="Q37" s="35">
        <v>1.5</v>
      </c>
      <c r="R37" s="26" t="s">
        <v>36</v>
      </c>
      <c r="S37" s="51" t="s">
        <v>7</v>
      </c>
      <c r="T37" s="107">
        <v>1.5</v>
      </c>
      <c r="U37" s="108"/>
      <c r="V37" s="58" t="s">
        <v>36</v>
      </c>
      <c r="W37" s="55"/>
      <c r="X37" s="1"/>
    </row>
    <row r="38" spans="2:24" ht="24.9" customHeight="1" thickBot="1" x14ac:dyDescent="0.35">
      <c r="B38" s="7"/>
      <c r="C38" s="3"/>
      <c r="D38" s="4"/>
      <c r="E38" s="5"/>
      <c r="F38" s="3"/>
      <c r="G38" s="6"/>
      <c r="H38" s="12"/>
      <c r="I38" s="13"/>
      <c r="J38" s="13"/>
      <c r="K38" s="14"/>
      <c r="L38" s="18"/>
      <c r="M38" s="19"/>
      <c r="N38" s="32"/>
      <c r="O38" s="20"/>
      <c r="P38" s="25" t="s">
        <v>52</v>
      </c>
      <c r="Q38" s="35">
        <v>18.95</v>
      </c>
      <c r="R38" s="26" t="s">
        <v>36</v>
      </c>
      <c r="S38" s="51" t="s">
        <v>52</v>
      </c>
      <c r="T38" s="107">
        <v>18.95</v>
      </c>
      <c r="U38" s="108"/>
      <c r="V38" s="58" t="s">
        <v>36</v>
      </c>
      <c r="W38" s="55"/>
      <c r="X38" s="1"/>
    </row>
    <row r="39" spans="2:24" ht="24.9" customHeight="1" thickBot="1" x14ac:dyDescent="0.35">
      <c r="B39" s="7"/>
      <c r="C39" s="3" t="s">
        <v>79</v>
      </c>
      <c r="D39" s="4">
        <v>46010</v>
      </c>
      <c r="E39" s="5" t="s">
        <v>21</v>
      </c>
      <c r="F39" s="3" t="s">
        <v>20</v>
      </c>
      <c r="G39" s="6" t="s">
        <v>80</v>
      </c>
      <c r="H39" s="12">
        <v>1</v>
      </c>
      <c r="I39" s="13"/>
      <c r="J39" s="13"/>
      <c r="K39" s="14"/>
      <c r="L39" s="18"/>
      <c r="M39" s="19"/>
      <c r="N39" s="32"/>
      <c r="O39" s="20"/>
      <c r="P39" s="25"/>
      <c r="Q39" s="35"/>
      <c r="R39" s="26"/>
      <c r="S39" s="51"/>
      <c r="T39" s="107"/>
      <c r="U39" s="108"/>
      <c r="V39" s="51"/>
      <c r="W39" s="55"/>
      <c r="X39" s="1"/>
    </row>
    <row r="40" spans="2:24" ht="24.9" customHeight="1" thickBot="1" x14ac:dyDescent="0.35">
      <c r="B40" s="7"/>
      <c r="C40" s="3" t="s">
        <v>81</v>
      </c>
      <c r="D40" s="4">
        <v>46016</v>
      </c>
      <c r="E40" s="5" t="s">
        <v>27</v>
      </c>
      <c r="F40" s="3" t="s">
        <v>82</v>
      </c>
      <c r="G40" s="6"/>
      <c r="H40" s="12">
        <v>1</v>
      </c>
      <c r="I40" s="13"/>
      <c r="J40" s="13">
        <v>1</v>
      </c>
      <c r="K40" s="14"/>
      <c r="L40" s="18"/>
      <c r="M40" s="19"/>
      <c r="N40" s="32"/>
      <c r="O40" s="20"/>
      <c r="P40" s="25"/>
      <c r="Q40" s="35"/>
      <c r="R40" s="26"/>
      <c r="S40" s="51"/>
      <c r="T40" s="107"/>
      <c r="U40" s="108"/>
      <c r="V40" s="51"/>
      <c r="W40" s="55">
        <v>1126.44</v>
      </c>
      <c r="X40" s="1"/>
    </row>
    <row r="41" spans="2:24" ht="24.9" customHeight="1" thickBot="1" x14ac:dyDescent="0.35">
      <c r="B41" s="7"/>
      <c r="C41" s="3" t="s">
        <v>83</v>
      </c>
      <c r="D41" s="4">
        <v>46016</v>
      </c>
      <c r="E41" s="5" t="s">
        <v>23</v>
      </c>
      <c r="F41" s="3" t="s">
        <v>20</v>
      </c>
      <c r="G41" s="6" t="s">
        <v>84</v>
      </c>
      <c r="H41" s="12">
        <v>2</v>
      </c>
      <c r="I41" s="13"/>
      <c r="J41" s="13">
        <v>1</v>
      </c>
      <c r="K41" s="14"/>
      <c r="L41" s="18">
        <v>1</v>
      </c>
      <c r="M41" s="19"/>
      <c r="N41" s="32"/>
      <c r="O41" s="20"/>
      <c r="P41" s="25" t="s">
        <v>44</v>
      </c>
      <c r="Q41" s="35">
        <v>2</v>
      </c>
      <c r="R41" s="26" t="s">
        <v>41</v>
      </c>
      <c r="S41" s="51" t="s">
        <v>44</v>
      </c>
      <c r="T41" s="107">
        <v>2</v>
      </c>
      <c r="U41" s="108"/>
      <c r="V41" s="51" t="s">
        <v>41</v>
      </c>
      <c r="W41" s="55"/>
      <c r="X41" s="1"/>
    </row>
    <row r="42" spans="2:24" ht="24.9" customHeight="1" thickBot="1" x14ac:dyDescent="0.35">
      <c r="B42" s="7"/>
      <c r="C42" s="3"/>
      <c r="D42" s="4"/>
      <c r="E42" s="5"/>
      <c r="F42" s="3"/>
      <c r="G42" s="6"/>
      <c r="H42" s="12"/>
      <c r="I42" s="13"/>
      <c r="J42" s="13"/>
      <c r="K42" s="14"/>
      <c r="L42" s="18"/>
      <c r="M42" s="19"/>
      <c r="N42" s="32"/>
      <c r="O42" s="20"/>
      <c r="P42" s="25" t="s">
        <v>51</v>
      </c>
      <c r="Q42" s="35">
        <v>14.5</v>
      </c>
      <c r="R42" s="26" t="s">
        <v>41</v>
      </c>
      <c r="S42" s="51" t="s">
        <v>51</v>
      </c>
      <c r="T42" s="107">
        <v>14.5</v>
      </c>
      <c r="U42" s="108"/>
      <c r="V42" s="51" t="s">
        <v>41</v>
      </c>
      <c r="W42" s="55"/>
      <c r="X42" s="1"/>
    </row>
    <row r="43" spans="2:24" ht="24.9" customHeight="1" thickBot="1" x14ac:dyDescent="0.35">
      <c r="B43" s="7"/>
      <c r="C43" s="3" t="s">
        <v>85</v>
      </c>
      <c r="D43" s="4">
        <v>46016</v>
      </c>
      <c r="E43" s="5" t="s">
        <v>23</v>
      </c>
      <c r="F43" s="3" t="s">
        <v>38</v>
      </c>
      <c r="G43" s="6"/>
      <c r="H43" s="12"/>
      <c r="I43" s="13"/>
      <c r="J43" s="13"/>
      <c r="K43" s="14"/>
      <c r="L43" s="18"/>
      <c r="M43" s="19"/>
      <c r="N43" s="32"/>
      <c r="O43" s="20"/>
      <c r="P43" s="25" t="s">
        <v>8</v>
      </c>
      <c r="Q43" s="35">
        <v>60</v>
      </c>
      <c r="R43" s="26"/>
      <c r="S43" s="51"/>
      <c r="T43" s="107"/>
      <c r="U43" s="108"/>
      <c r="V43" s="51"/>
      <c r="W43" s="55"/>
      <c r="X43" s="1"/>
    </row>
    <row r="44" spans="2:24" ht="24.9" customHeight="1" thickBot="1" x14ac:dyDescent="0.35">
      <c r="B44" s="7"/>
      <c r="C44" s="3"/>
      <c r="D44" s="4"/>
      <c r="E44" s="5"/>
      <c r="F44" s="3"/>
      <c r="G44" s="6"/>
      <c r="H44" s="12"/>
      <c r="I44" s="13"/>
      <c r="J44" s="13"/>
      <c r="K44" s="14"/>
      <c r="L44" s="18"/>
      <c r="M44" s="19"/>
      <c r="N44" s="32"/>
      <c r="O44" s="20"/>
      <c r="P44" s="25" t="s">
        <v>54</v>
      </c>
      <c r="Q44" s="35">
        <v>30</v>
      </c>
      <c r="R44" s="26"/>
      <c r="S44" s="51"/>
      <c r="T44" s="107"/>
      <c r="U44" s="108"/>
      <c r="V44" s="51"/>
      <c r="W44" s="55"/>
      <c r="X44" s="1"/>
    </row>
    <row r="45" spans="2:24" ht="24.9" customHeight="1" thickBot="1" x14ac:dyDescent="0.35">
      <c r="B45" s="7"/>
      <c r="C45" s="3" t="s">
        <v>86</v>
      </c>
      <c r="D45" s="4">
        <v>46017</v>
      </c>
      <c r="E45" s="5" t="s">
        <v>21</v>
      </c>
      <c r="F45" s="3" t="s">
        <v>20</v>
      </c>
      <c r="G45" s="6" t="s">
        <v>87</v>
      </c>
      <c r="H45" s="12">
        <v>1</v>
      </c>
      <c r="I45" s="13"/>
      <c r="J45" s="13">
        <v>1</v>
      </c>
      <c r="K45" s="14"/>
      <c r="L45" s="18">
        <v>1</v>
      </c>
      <c r="M45" s="19"/>
      <c r="N45" s="32"/>
      <c r="O45" s="20"/>
      <c r="P45" s="25" t="s">
        <v>88</v>
      </c>
      <c r="Q45" s="35">
        <v>8</v>
      </c>
      <c r="R45" s="26" t="s">
        <v>36</v>
      </c>
      <c r="S45" s="51" t="s">
        <v>88</v>
      </c>
      <c r="T45" s="107">
        <v>8</v>
      </c>
      <c r="U45" s="108"/>
      <c r="V45" s="51" t="s">
        <v>36</v>
      </c>
      <c r="W45" s="55"/>
      <c r="X45" s="1"/>
    </row>
    <row r="46" spans="2:24" ht="24.9" customHeight="1" thickBot="1" x14ac:dyDescent="0.35">
      <c r="B46" s="7"/>
      <c r="C46" s="3" t="s">
        <v>89</v>
      </c>
      <c r="D46" s="4">
        <v>46017</v>
      </c>
      <c r="E46" s="5" t="s">
        <v>23</v>
      </c>
      <c r="F46" s="3" t="s">
        <v>20</v>
      </c>
      <c r="G46" s="6" t="s">
        <v>90</v>
      </c>
      <c r="H46" s="12">
        <v>2</v>
      </c>
      <c r="I46" s="13"/>
      <c r="J46" s="13">
        <v>2</v>
      </c>
      <c r="K46" s="14"/>
      <c r="L46" s="18">
        <v>1</v>
      </c>
      <c r="M46" s="19"/>
      <c r="N46" s="32"/>
      <c r="O46" s="20"/>
      <c r="P46" s="46" t="s">
        <v>88</v>
      </c>
      <c r="Q46" s="47">
        <v>19.3</v>
      </c>
      <c r="R46" s="26"/>
      <c r="S46" s="51" t="s">
        <v>180</v>
      </c>
      <c r="T46" s="107">
        <v>6</v>
      </c>
      <c r="U46" s="108"/>
      <c r="V46" s="51" t="s">
        <v>36</v>
      </c>
      <c r="W46" s="55"/>
      <c r="X46" s="1"/>
    </row>
    <row r="47" spans="2:24" ht="24.9" customHeight="1" thickBot="1" x14ac:dyDescent="0.35">
      <c r="B47" s="7"/>
      <c r="C47" s="3"/>
      <c r="D47" s="4"/>
      <c r="E47" s="5"/>
      <c r="F47" s="3"/>
      <c r="G47" s="6"/>
      <c r="H47" s="12"/>
      <c r="I47" s="13"/>
      <c r="J47" s="13"/>
      <c r="K47" s="14"/>
      <c r="L47" s="18"/>
      <c r="M47" s="19"/>
      <c r="N47" s="32"/>
      <c r="O47" s="20"/>
      <c r="P47" s="46" t="s">
        <v>91</v>
      </c>
      <c r="Q47" s="47">
        <v>5.2</v>
      </c>
      <c r="R47" s="26"/>
      <c r="S47" s="51" t="s">
        <v>91</v>
      </c>
      <c r="T47" s="107">
        <v>3</v>
      </c>
      <c r="U47" s="108"/>
      <c r="V47" s="51" t="s">
        <v>36</v>
      </c>
      <c r="W47" s="55"/>
      <c r="X47" s="1"/>
    </row>
    <row r="48" spans="2:24" ht="24.9" customHeight="1" thickBot="1" x14ac:dyDescent="0.35">
      <c r="B48" s="7"/>
      <c r="C48" s="3"/>
      <c r="D48" s="4"/>
      <c r="E48" s="5"/>
      <c r="F48" s="3"/>
      <c r="G48" s="6"/>
      <c r="H48" s="12"/>
      <c r="I48" s="13"/>
      <c r="J48" s="13"/>
      <c r="K48" s="14"/>
      <c r="L48" s="18"/>
      <c r="M48" s="19"/>
      <c r="N48" s="32"/>
      <c r="O48" s="20"/>
      <c r="P48" s="46" t="s">
        <v>92</v>
      </c>
      <c r="Q48" s="47">
        <v>9.8000000000000007</v>
      </c>
      <c r="R48" s="26"/>
      <c r="S48" s="51" t="s">
        <v>92</v>
      </c>
      <c r="T48" s="107">
        <v>9</v>
      </c>
      <c r="U48" s="108"/>
      <c r="V48" s="51" t="s">
        <v>36</v>
      </c>
      <c r="W48" s="55"/>
      <c r="X48" s="1"/>
    </row>
    <row r="49" spans="2:24" ht="24.9" customHeight="1" thickBot="1" x14ac:dyDescent="0.35">
      <c r="B49" s="7"/>
      <c r="C49" s="3" t="s">
        <v>93</v>
      </c>
      <c r="D49" s="4">
        <v>46017</v>
      </c>
      <c r="E49" s="5" t="s">
        <v>27</v>
      </c>
      <c r="F49" s="3" t="s">
        <v>56</v>
      </c>
      <c r="G49" s="6" t="s">
        <v>94</v>
      </c>
      <c r="H49" s="12">
        <v>8</v>
      </c>
      <c r="I49" s="13"/>
      <c r="J49" s="13"/>
      <c r="K49" s="14"/>
      <c r="L49" s="18">
        <v>2</v>
      </c>
      <c r="M49" s="19"/>
      <c r="N49" s="32"/>
      <c r="O49" s="20"/>
      <c r="P49" s="25" t="s">
        <v>40</v>
      </c>
      <c r="Q49" s="35">
        <v>8</v>
      </c>
      <c r="R49" s="26"/>
      <c r="S49" s="51" t="s">
        <v>40</v>
      </c>
      <c r="T49" s="107">
        <v>5</v>
      </c>
      <c r="U49" s="108"/>
      <c r="V49" s="51"/>
      <c r="W49" s="55"/>
      <c r="X49" s="1"/>
    </row>
    <row r="50" spans="2:24" ht="24.9" customHeight="1" thickBot="1" x14ac:dyDescent="0.35">
      <c r="B50" s="7"/>
      <c r="C50" s="3"/>
      <c r="D50" s="4"/>
      <c r="E50" s="5"/>
      <c r="F50" s="3"/>
      <c r="G50" s="6"/>
      <c r="H50" s="12"/>
      <c r="I50" s="13"/>
      <c r="J50" s="13"/>
      <c r="K50" s="14"/>
      <c r="L50" s="18"/>
      <c r="M50" s="19"/>
      <c r="N50" s="32"/>
      <c r="O50" s="20"/>
      <c r="P50" s="25" t="s">
        <v>95</v>
      </c>
      <c r="Q50" s="35">
        <v>0.4</v>
      </c>
      <c r="R50" s="26"/>
      <c r="S50" s="51" t="s">
        <v>95</v>
      </c>
      <c r="T50" s="107">
        <v>0.2</v>
      </c>
      <c r="U50" s="108"/>
      <c r="V50" s="51"/>
      <c r="W50" s="55"/>
      <c r="X50" s="1"/>
    </row>
    <row r="51" spans="2:24" ht="24.9" customHeight="1" thickBot="1" x14ac:dyDescent="0.35">
      <c r="B51" s="7"/>
      <c r="C51" s="3" t="s">
        <v>96</v>
      </c>
      <c r="D51" s="4">
        <v>46018</v>
      </c>
      <c r="E51" s="5" t="s">
        <v>23</v>
      </c>
      <c r="F51" s="3" t="s">
        <v>20</v>
      </c>
      <c r="G51" s="6" t="s">
        <v>97</v>
      </c>
      <c r="H51" s="12">
        <v>3</v>
      </c>
      <c r="I51" s="13"/>
      <c r="J51" s="13"/>
      <c r="K51" s="14"/>
      <c r="L51" s="18"/>
      <c r="M51" s="19"/>
      <c r="N51" s="32"/>
      <c r="O51" s="20"/>
      <c r="P51" s="25" t="s">
        <v>88</v>
      </c>
      <c r="Q51" s="35">
        <v>13</v>
      </c>
      <c r="R51" s="26"/>
      <c r="S51" s="51"/>
      <c r="T51" s="107"/>
      <c r="U51" s="108"/>
      <c r="V51" s="51"/>
      <c r="W51" s="55"/>
      <c r="X51" s="1"/>
    </row>
    <row r="52" spans="2:24" ht="24.9" customHeight="1" thickBot="1" x14ac:dyDescent="0.35">
      <c r="B52" s="7"/>
      <c r="C52" s="3" t="s">
        <v>98</v>
      </c>
      <c r="D52" s="4">
        <v>46018</v>
      </c>
      <c r="E52" s="5" t="s">
        <v>23</v>
      </c>
      <c r="F52" s="3" t="s">
        <v>20</v>
      </c>
      <c r="G52" s="6" t="s">
        <v>84</v>
      </c>
      <c r="H52" s="12">
        <v>3</v>
      </c>
      <c r="I52" s="13"/>
      <c r="J52" s="13">
        <v>2</v>
      </c>
      <c r="K52" s="14"/>
      <c r="L52" s="18"/>
      <c r="M52" s="19"/>
      <c r="N52" s="32"/>
      <c r="O52" s="20"/>
      <c r="P52" s="25" t="s">
        <v>51</v>
      </c>
      <c r="Q52" s="35">
        <v>35</v>
      </c>
      <c r="R52" s="26"/>
      <c r="S52" s="51"/>
      <c r="T52" s="107"/>
      <c r="U52" s="108"/>
      <c r="V52" s="51"/>
      <c r="W52" s="55"/>
      <c r="X52" s="1"/>
    </row>
    <row r="53" spans="2:24" ht="24.9" customHeight="1" thickBot="1" x14ac:dyDescent="0.35">
      <c r="B53" s="7"/>
      <c r="C53" s="3" t="s">
        <v>99</v>
      </c>
      <c r="D53" s="4">
        <v>46019</v>
      </c>
      <c r="E53" s="5" t="s">
        <v>21</v>
      </c>
      <c r="F53" s="3" t="s">
        <v>20</v>
      </c>
      <c r="G53" s="6" t="s">
        <v>100</v>
      </c>
      <c r="H53" s="12">
        <v>2</v>
      </c>
      <c r="I53" s="13"/>
      <c r="J53" s="13">
        <v>2</v>
      </c>
      <c r="K53" s="14"/>
      <c r="L53" s="18"/>
      <c r="M53" s="19"/>
      <c r="N53" s="32"/>
      <c r="O53" s="20"/>
      <c r="P53" s="25" t="s">
        <v>51</v>
      </c>
      <c r="Q53" s="35">
        <v>18</v>
      </c>
      <c r="R53" s="26"/>
      <c r="S53" s="51"/>
      <c r="T53" s="107"/>
      <c r="U53" s="108"/>
      <c r="V53" s="51"/>
      <c r="W53" s="55"/>
      <c r="X53" s="1"/>
    </row>
    <row r="54" spans="2:24" ht="24.9" customHeight="1" thickBot="1" x14ac:dyDescent="0.35">
      <c r="B54" s="7"/>
      <c r="C54" s="3" t="s">
        <v>101</v>
      </c>
      <c r="D54" s="4">
        <v>46019</v>
      </c>
      <c r="E54" s="5" t="s">
        <v>27</v>
      </c>
      <c r="F54" s="3" t="s">
        <v>26</v>
      </c>
      <c r="G54" s="6"/>
      <c r="H54" s="12">
        <v>3</v>
      </c>
      <c r="I54" s="13"/>
      <c r="J54" s="13">
        <v>2</v>
      </c>
      <c r="K54" s="14"/>
      <c r="L54" s="18"/>
      <c r="M54" s="19"/>
      <c r="N54" s="32"/>
      <c r="O54" s="20"/>
      <c r="P54" s="25" t="s">
        <v>51</v>
      </c>
      <c r="Q54" s="35">
        <v>26</v>
      </c>
      <c r="R54" s="26"/>
      <c r="S54" s="51"/>
      <c r="T54" s="107"/>
      <c r="U54" s="108"/>
      <c r="V54" s="51"/>
      <c r="W54" s="55"/>
      <c r="X54" s="1"/>
    </row>
    <row r="55" spans="2:24" ht="24.9" customHeight="1" thickBot="1" x14ac:dyDescent="0.35">
      <c r="B55" s="7"/>
      <c r="C55" s="3" t="s">
        <v>102</v>
      </c>
      <c r="D55" s="4">
        <v>46094</v>
      </c>
      <c r="E55" s="5" t="s">
        <v>19</v>
      </c>
      <c r="F55" s="3"/>
      <c r="G55" s="6"/>
      <c r="H55" s="12"/>
      <c r="I55" s="13"/>
      <c r="J55" s="13">
        <v>7</v>
      </c>
      <c r="K55" s="14"/>
      <c r="L55" s="18"/>
      <c r="M55" s="19"/>
      <c r="N55" s="32"/>
      <c r="O55" s="20"/>
      <c r="P55" s="46"/>
      <c r="Q55" s="47"/>
      <c r="R55" s="26"/>
      <c r="S55" s="51"/>
      <c r="T55" s="107"/>
      <c r="U55" s="108"/>
      <c r="V55" s="51"/>
      <c r="W55" s="55"/>
      <c r="X55" s="1"/>
    </row>
    <row r="56" spans="2:24" ht="24.9" customHeight="1" thickBot="1" x14ac:dyDescent="0.35">
      <c r="B56" s="7"/>
      <c r="C56" s="3">
        <v>38</v>
      </c>
      <c r="D56" s="4">
        <v>46094</v>
      </c>
      <c r="E56" s="5" t="s">
        <v>19</v>
      </c>
      <c r="F56" s="3"/>
      <c r="G56" s="6"/>
      <c r="H56" s="12"/>
      <c r="I56" s="13"/>
      <c r="J56" s="13">
        <v>26</v>
      </c>
      <c r="K56" s="14"/>
      <c r="L56" s="18"/>
      <c r="M56" s="19"/>
      <c r="N56" s="32"/>
      <c r="O56" s="20"/>
      <c r="P56" s="46"/>
      <c r="Q56" s="47"/>
      <c r="R56" s="26"/>
      <c r="S56" s="51"/>
      <c r="T56" s="107"/>
      <c r="U56" s="108"/>
      <c r="V56" s="51"/>
      <c r="W56" s="55"/>
      <c r="X56" s="1"/>
    </row>
    <row r="57" spans="2:24" ht="24.9" customHeight="1" thickBot="1" x14ac:dyDescent="0.35">
      <c r="B57" s="7"/>
      <c r="C57" s="3" t="s">
        <v>103</v>
      </c>
      <c r="D57" s="4">
        <v>46094</v>
      </c>
      <c r="E57" s="5" t="s">
        <v>19</v>
      </c>
      <c r="F57" s="3"/>
      <c r="G57" s="6"/>
      <c r="H57" s="12"/>
      <c r="I57" s="13"/>
      <c r="J57" s="13">
        <v>56</v>
      </c>
      <c r="K57" s="14"/>
      <c r="L57" s="18"/>
      <c r="M57" s="19"/>
      <c r="N57" s="32"/>
      <c r="O57" s="20"/>
      <c r="P57" s="46"/>
      <c r="Q57" s="47"/>
      <c r="R57" s="26"/>
      <c r="S57" s="51"/>
      <c r="T57" s="107"/>
      <c r="U57" s="108"/>
      <c r="V57" s="51"/>
      <c r="W57" s="55"/>
      <c r="X57" s="1"/>
    </row>
    <row r="58" spans="2:24" ht="24.9" customHeight="1" thickBot="1" x14ac:dyDescent="0.35">
      <c r="B58" s="7"/>
      <c r="C58" s="3" t="s">
        <v>104</v>
      </c>
      <c r="D58" s="4">
        <v>46094</v>
      </c>
      <c r="E58" s="5" t="s">
        <v>19</v>
      </c>
      <c r="F58" s="3"/>
      <c r="G58" s="6"/>
      <c r="H58" s="12"/>
      <c r="I58" s="13"/>
      <c r="J58" s="13">
        <v>56</v>
      </c>
      <c r="K58" s="14"/>
      <c r="L58" s="18"/>
      <c r="M58" s="19"/>
      <c r="N58" s="32"/>
      <c r="O58" s="20"/>
      <c r="P58" s="25"/>
      <c r="Q58" s="35"/>
      <c r="R58" s="26"/>
      <c r="S58" s="51"/>
      <c r="T58" s="107"/>
      <c r="U58" s="108"/>
      <c r="V58" s="51"/>
      <c r="W58" s="55"/>
      <c r="X58" s="1"/>
    </row>
    <row r="59" spans="2:24" ht="24.9" customHeight="1" thickBot="1" x14ac:dyDescent="0.35">
      <c r="B59" s="7"/>
      <c r="C59" s="3" t="s">
        <v>105</v>
      </c>
      <c r="D59" s="4">
        <v>46094</v>
      </c>
      <c r="E59" s="5" t="s">
        <v>19</v>
      </c>
      <c r="F59" s="3"/>
      <c r="G59" s="6"/>
      <c r="H59" s="12"/>
      <c r="I59" s="13"/>
      <c r="J59" s="13">
        <v>57</v>
      </c>
      <c r="K59" s="14"/>
      <c r="L59" s="18"/>
      <c r="M59" s="19"/>
      <c r="N59" s="32"/>
      <c r="O59" s="20"/>
      <c r="P59" s="25"/>
      <c r="Q59" s="35"/>
      <c r="R59" s="26"/>
      <c r="S59" s="51"/>
      <c r="T59" s="107"/>
      <c r="U59" s="108"/>
      <c r="V59" s="51"/>
      <c r="W59" s="55"/>
      <c r="X59" s="1"/>
    </row>
    <row r="60" spans="2:24" ht="24.9" customHeight="1" thickBot="1" x14ac:dyDescent="0.35">
      <c r="B60" s="7"/>
      <c r="C60" s="3" t="s">
        <v>106</v>
      </c>
      <c r="D60" s="4">
        <v>46094</v>
      </c>
      <c r="E60" s="5" t="s">
        <v>19</v>
      </c>
      <c r="F60" s="3"/>
      <c r="G60" s="6"/>
      <c r="H60" s="12"/>
      <c r="I60" s="13"/>
      <c r="J60" s="13">
        <v>35</v>
      </c>
      <c r="K60" s="14"/>
      <c r="L60" s="18"/>
      <c r="M60" s="19"/>
      <c r="N60" s="32"/>
      <c r="O60" s="20"/>
      <c r="P60" s="25"/>
      <c r="Q60" s="35"/>
      <c r="R60" s="26"/>
      <c r="S60" s="51"/>
      <c r="T60" s="107"/>
      <c r="U60" s="108"/>
      <c r="V60" s="51"/>
      <c r="W60" s="55"/>
      <c r="X60" s="1"/>
    </row>
    <row r="61" spans="2:24" ht="24.9" customHeight="1" thickBot="1" x14ac:dyDescent="0.35">
      <c r="B61" s="7"/>
      <c r="C61" s="3" t="s">
        <v>107</v>
      </c>
      <c r="D61" s="4">
        <v>46094</v>
      </c>
      <c r="E61" s="5" t="s">
        <v>19</v>
      </c>
      <c r="F61" s="3"/>
      <c r="G61" s="6"/>
      <c r="H61" s="12"/>
      <c r="I61" s="13"/>
      <c r="J61" s="13">
        <v>52</v>
      </c>
      <c r="K61" s="14"/>
      <c r="L61" s="18"/>
      <c r="M61" s="19"/>
      <c r="N61" s="32"/>
      <c r="O61" s="20"/>
      <c r="P61" s="25"/>
      <c r="Q61" s="35"/>
      <c r="R61" s="26"/>
      <c r="S61" s="51"/>
      <c r="T61" s="107"/>
      <c r="U61" s="108"/>
      <c r="V61" s="51"/>
      <c r="W61" s="55"/>
      <c r="X61" s="1"/>
    </row>
    <row r="62" spans="2:24" ht="24.9" customHeight="1" thickBot="1" x14ac:dyDescent="0.35">
      <c r="B62" s="7"/>
      <c r="C62" s="3" t="s">
        <v>108</v>
      </c>
      <c r="D62" s="4">
        <v>46027</v>
      </c>
      <c r="E62" s="5" t="s">
        <v>23</v>
      </c>
      <c r="F62" s="3" t="s">
        <v>38</v>
      </c>
      <c r="G62" s="6" t="s">
        <v>109</v>
      </c>
      <c r="H62" s="12">
        <v>3</v>
      </c>
      <c r="I62" s="13"/>
      <c r="J62" s="13"/>
      <c r="K62" s="14"/>
      <c r="L62" s="18"/>
      <c r="M62" s="19"/>
      <c r="N62" s="32"/>
      <c r="O62" s="20"/>
      <c r="P62" s="25"/>
      <c r="Q62" s="35"/>
      <c r="R62" s="26"/>
      <c r="S62" s="51"/>
      <c r="T62" s="107"/>
      <c r="U62" s="108"/>
      <c r="V62" s="51"/>
      <c r="W62" s="55"/>
      <c r="X62" s="1"/>
    </row>
    <row r="63" spans="2:24" ht="24.9" customHeight="1" thickBot="1" x14ac:dyDescent="0.35">
      <c r="B63" s="7"/>
      <c r="C63" s="3" t="s">
        <v>110</v>
      </c>
      <c r="D63" s="4">
        <v>46027</v>
      </c>
      <c r="E63" s="5"/>
      <c r="F63" s="3"/>
      <c r="G63" s="6"/>
      <c r="H63" s="12">
        <v>4</v>
      </c>
      <c r="I63" s="13"/>
      <c r="J63" s="13"/>
      <c r="K63" s="14"/>
      <c r="L63" s="18"/>
      <c r="M63" s="19"/>
      <c r="N63" s="32"/>
      <c r="O63" s="20"/>
      <c r="P63" s="25" t="s">
        <v>44</v>
      </c>
      <c r="Q63" s="35">
        <v>143</v>
      </c>
      <c r="R63" s="26"/>
      <c r="S63" s="51"/>
      <c r="T63" s="107"/>
      <c r="U63" s="108"/>
      <c r="V63" s="51"/>
      <c r="W63" s="55"/>
      <c r="X63" s="1"/>
    </row>
    <row r="64" spans="2:24" ht="24.9" customHeight="1" thickBot="1" x14ac:dyDescent="0.35">
      <c r="B64" s="7"/>
      <c r="C64" s="3"/>
      <c r="D64" s="4"/>
      <c r="E64" s="5"/>
      <c r="F64" s="3"/>
      <c r="G64" s="6"/>
      <c r="H64" s="12" t="s">
        <v>111</v>
      </c>
      <c r="I64" s="13"/>
      <c r="J64" s="13"/>
      <c r="K64" s="14"/>
      <c r="L64" s="18"/>
      <c r="M64" s="19"/>
      <c r="N64" s="32"/>
      <c r="O64" s="20"/>
      <c r="P64" s="46"/>
      <c r="Q64" s="47"/>
      <c r="R64" s="26"/>
      <c r="S64" s="51"/>
      <c r="T64" s="107"/>
      <c r="U64" s="108"/>
      <c r="V64" s="51"/>
      <c r="W64" s="55"/>
      <c r="X64" s="1"/>
    </row>
    <row r="65" spans="2:24" ht="24.9" customHeight="1" thickBot="1" x14ac:dyDescent="0.35">
      <c r="B65" s="7"/>
      <c r="C65" s="3" t="s">
        <v>112</v>
      </c>
      <c r="D65" s="4">
        <v>46039</v>
      </c>
      <c r="E65" s="5" t="s">
        <v>27</v>
      </c>
      <c r="F65" s="3" t="s">
        <v>56</v>
      </c>
      <c r="G65" s="6"/>
      <c r="H65" s="12">
        <v>3</v>
      </c>
      <c r="I65" s="13"/>
      <c r="J65" s="13"/>
      <c r="K65" s="14"/>
      <c r="L65" s="18"/>
      <c r="M65" s="19"/>
      <c r="N65" s="32"/>
      <c r="O65" s="20"/>
      <c r="P65" s="46" t="s">
        <v>51</v>
      </c>
      <c r="Q65" s="47">
        <v>10</v>
      </c>
      <c r="R65" s="26"/>
      <c r="S65" s="51"/>
      <c r="T65" s="107"/>
      <c r="U65" s="108"/>
      <c r="V65" s="51"/>
      <c r="W65" s="55"/>
      <c r="X65" s="1"/>
    </row>
    <row r="66" spans="2:24" ht="24.9" customHeight="1" thickBot="1" x14ac:dyDescent="0.35">
      <c r="B66" s="7"/>
      <c r="C66" s="3" t="s">
        <v>113</v>
      </c>
      <c r="D66" s="4">
        <v>46047</v>
      </c>
      <c r="E66" s="5" t="s">
        <v>27</v>
      </c>
      <c r="F66" s="3" t="s">
        <v>66</v>
      </c>
      <c r="G66" s="6"/>
      <c r="H66" s="12"/>
      <c r="I66" s="13"/>
      <c r="J66" s="13">
        <v>2</v>
      </c>
      <c r="K66" s="14"/>
      <c r="L66" s="18"/>
      <c r="M66" s="19"/>
      <c r="N66" s="32"/>
      <c r="O66" s="20"/>
      <c r="P66" s="46"/>
      <c r="Q66" s="47"/>
      <c r="R66" s="26"/>
      <c r="S66" s="51"/>
      <c r="T66" s="107"/>
      <c r="U66" s="108"/>
      <c r="V66" s="51"/>
      <c r="W66" s="55"/>
      <c r="X66" s="1"/>
    </row>
    <row r="67" spans="2:24" ht="24.9" customHeight="1" thickBot="1" x14ac:dyDescent="0.35">
      <c r="B67" s="7"/>
      <c r="C67" s="3" t="s">
        <v>114</v>
      </c>
      <c r="D67" s="4">
        <v>46062</v>
      </c>
      <c r="E67" s="5" t="s">
        <v>23</v>
      </c>
      <c r="F67" s="3" t="s">
        <v>20</v>
      </c>
      <c r="G67" s="6"/>
      <c r="H67" s="12">
        <v>3</v>
      </c>
      <c r="I67" s="13"/>
      <c r="J67" s="13">
        <v>1</v>
      </c>
      <c r="K67" s="14"/>
      <c r="L67" s="18"/>
      <c r="M67" s="19"/>
      <c r="N67" s="32"/>
      <c r="O67" s="20"/>
      <c r="P67" s="25"/>
      <c r="Q67" s="35"/>
      <c r="R67" s="26"/>
      <c r="S67" s="51"/>
      <c r="T67" s="107"/>
      <c r="U67" s="108"/>
      <c r="V67" s="51"/>
      <c r="W67" s="55"/>
      <c r="X67" s="1"/>
    </row>
    <row r="68" spans="2:24" ht="24.9" customHeight="1" thickBot="1" x14ac:dyDescent="0.35">
      <c r="B68" s="7"/>
      <c r="C68" s="3" t="s">
        <v>115</v>
      </c>
      <c r="D68" s="4">
        <v>46066</v>
      </c>
      <c r="E68" s="5" t="s">
        <v>116</v>
      </c>
      <c r="F68" s="3" t="s">
        <v>38</v>
      </c>
      <c r="G68" s="6"/>
      <c r="H68" s="12"/>
      <c r="I68" s="13"/>
      <c r="J68" s="13">
        <v>2</v>
      </c>
      <c r="K68" s="14"/>
      <c r="L68" s="18"/>
      <c r="M68" s="19"/>
      <c r="N68" s="32">
        <v>2</v>
      </c>
      <c r="O68" s="20"/>
      <c r="P68" s="25"/>
      <c r="Q68" s="35"/>
      <c r="R68" s="26"/>
      <c r="S68" s="51"/>
      <c r="T68" s="107"/>
      <c r="U68" s="108"/>
      <c r="V68" s="51"/>
      <c r="W68" s="55"/>
      <c r="X68" s="1"/>
    </row>
    <row r="69" spans="2:24" ht="24.9" customHeight="1" thickBot="1" x14ac:dyDescent="0.35">
      <c r="B69" s="7"/>
      <c r="C69" s="3" t="s">
        <v>117</v>
      </c>
      <c r="D69" s="4">
        <v>46069</v>
      </c>
      <c r="E69" s="5" t="s">
        <v>118</v>
      </c>
      <c r="F69" s="3" t="s">
        <v>56</v>
      </c>
      <c r="G69" s="6"/>
      <c r="H69" s="12"/>
      <c r="I69" s="13"/>
      <c r="J69" s="13">
        <v>4</v>
      </c>
      <c r="K69" s="14"/>
      <c r="L69" s="18"/>
      <c r="M69" s="19"/>
      <c r="N69" s="32"/>
      <c r="O69" s="20"/>
      <c r="P69" s="25" t="s">
        <v>88</v>
      </c>
      <c r="Q69" s="35">
        <v>77.44</v>
      </c>
      <c r="R69" s="26"/>
      <c r="S69" s="51"/>
      <c r="T69" s="107"/>
      <c r="U69" s="108"/>
      <c r="V69" s="51"/>
      <c r="W69" s="55"/>
      <c r="X69" s="1"/>
    </row>
    <row r="70" spans="2:24" ht="24.9" customHeight="1" thickBot="1" x14ac:dyDescent="0.35">
      <c r="B70" s="7"/>
      <c r="C70" s="3" t="s">
        <v>119</v>
      </c>
      <c r="D70" s="4">
        <v>46078</v>
      </c>
      <c r="E70" s="5" t="s">
        <v>27</v>
      </c>
      <c r="F70" s="3" t="s">
        <v>56</v>
      </c>
      <c r="G70" s="6"/>
      <c r="H70" s="12">
        <v>2</v>
      </c>
      <c r="I70" s="13"/>
      <c r="J70" s="13"/>
      <c r="K70" s="14"/>
      <c r="L70" s="18"/>
      <c r="M70" s="19"/>
      <c r="N70" s="32"/>
      <c r="O70" s="20"/>
      <c r="P70" s="25" t="s">
        <v>40</v>
      </c>
      <c r="Q70" s="35">
        <v>4.5</v>
      </c>
      <c r="R70" s="26"/>
      <c r="S70" s="51"/>
      <c r="T70" s="107"/>
      <c r="U70" s="108"/>
      <c r="V70" s="51"/>
      <c r="W70" s="55"/>
      <c r="X70" s="1"/>
    </row>
    <row r="71" spans="2:24" ht="24.9" customHeight="1" thickBot="1" x14ac:dyDescent="0.35">
      <c r="B71" s="7"/>
      <c r="C71" s="3" t="s">
        <v>120</v>
      </c>
      <c r="D71" s="4">
        <v>46079</v>
      </c>
      <c r="E71" s="5" t="s">
        <v>27</v>
      </c>
      <c r="F71" s="3" t="s">
        <v>56</v>
      </c>
      <c r="G71" s="6"/>
      <c r="H71" s="12">
        <v>3</v>
      </c>
      <c r="I71" s="13"/>
      <c r="J71" s="13"/>
      <c r="K71" s="14"/>
      <c r="L71" s="18"/>
      <c r="M71" s="19"/>
      <c r="N71" s="32"/>
      <c r="O71" s="20"/>
      <c r="P71" s="25" t="s">
        <v>40</v>
      </c>
      <c r="Q71" s="35">
        <v>9</v>
      </c>
      <c r="R71" s="26"/>
      <c r="S71" s="51"/>
      <c r="T71" s="107"/>
      <c r="U71" s="108"/>
      <c r="V71" s="51"/>
      <c r="W71" s="55"/>
      <c r="X71" s="1"/>
    </row>
    <row r="72" spans="2:24" ht="24.9" customHeight="1" thickBot="1" x14ac:dyDescent="0.35">
      <c r="B72" s="7"/>
      <c r="C72" s="3" t="s">
        <v>121</v>
      </c>
      <c r="D72" s="4">
        <v>46080</v>
      </c>
      <c r="E72" s="5" t="s">
        <v>23</v>
      </c>
      <c r="F72" s="3" t="s">
        <v>38</v>
      </c>
      <c r="G72" s="6"/>
      <c r="H72" s="12">
        <v>2</v>
      </c>
      <c r="I72" s="13"/>
      <c r="J72" s="13"/>
      <c r="K72" s="14"/>
      <c r="L72" s="18"/>
      <c r="M72" s="19"/>
      <c r="N72" s="32"/>
      <c r="O72" s="20"/>
      <c r="P72" s="25" t="s">
        <v>122</v>
      </c>
      <c r="Q72" s="35">
        <v>9</v>
      </c>
      <c r="R72" s="26"/>
      <c r="S72" s="51"/>
      <c r="T72" s="107"/>
      <c r="U72" s="108"/>
      <c r="V72" s="51"/>
      <c r="W72" s="55"/>
      <c r="X72" s="1"/>
    </row>
    <row r="73" spans="2:24" ht="24.9" customHeight="1" thickBot="1" x14ac:dyDescent="0.35">
      <c r="B73" s="7"/>
      <c r="C73" s="3" t="s">
        <v>123</v>
      </c>
      <c r="D73" s="4">
        <v>46091</v>
      </c>
      <c r="E73" s="5" t="s">
        <v>27</v>
      </c>
      <c r="F73" s="3" t="s">
        <v>26</v>
      </c>
      <c r="G73" s="6"/>
      <c r="H73" s="12">
        <v>2</v>
      </c>
      <c r="I73" s="13"/>
      <c r="J73" s="13">
        <v>2</v>
      </c>
      <c r="K73" s="14"/>
      <c r="L73" s="18">
        <v>2</v>
      </c>
      <c r="M73" s="19"/>
      <c r="N73" s="32">
        <v>2</v>
      </c>
      <c r="O73" s="20"/>
      <c r="P73" s="46" t="s">
        <v>51</v>
      </c>
      <c r="Q73" s="47">
        <v>30</v>
      </c>
      <c r="R73" s="26" t="s">
        <v>41</v>
      </c>
      <c r="S73" s="51" t="s">
        <v>51</v>
      </c>
      <c r="T73" s="107">
        <v>20</v>
      </c>
      <c r="U73" s="108"/>
      <c r="V73" s="51" t="s">
        <v>41</v>
      </c>
      <c r="W73" s="55"/>
      <c r="X73" s="1"/>
    </row>
    <row r="74" spans="2:24" ht="24.9" customHeight="1" thickBot="1" x14ac:dyDescent="0.35">
      <c r="B74" s="7"/>
      <c r="C74" s="3" t="s">
        <v>124</v>
      </c>
      <c r="D74" s="4">
        <v>46092</v>
      </c>
      <c r="E74" s="5" t="s">
        <v>25</v>
      </c>
      <c r="F74" s="3" t="s">
        <v>56</v>
      </c>
      <c r="G74" s="6"/>
      <c r="H74" s="12">
        <v>2</v>
      </c>
      <c r="I74" s="13"/>
      <c r="J74" s="13">
        <v>2</v>
      </c>
      <c r="K74" s="14"/>
      <c r="L74" s="18"/>
      <c r="M74" s="19"/>
      <c r="N74" s="32"/>
      <c r="O74" s="20"/>
      <c r="P74" s="46" t="s">
        <v>51</v>
      </c>
      <c r="Q74" s="47">
        <v>25</v>
      </c>
      <c r="R74" s="26"/>
      <c r="S74" s="51"/>
      <c r="T74" s="107"/>
      <c r="U74" s="108"/>
      <c r="V74" s="51"/>
      <c r="W74" s="55"/>
      <c r="X74" s="1"/>
    </row>
    <row r="75" spans="2:24" ht="24.9" customHeight="1" thickBot="1" x14ac:dyDescent="0.35">
      <c r="B75" s="7"/>
      <c r="C75" s="3" t="s">
        <v>125</v>
      </c>
      <c r="D75" s="4">
        <v>46093</v>
      </c>
      <c r="E75" s="5" t="s">
        <v>27</v>
      </c>
      <c r="F75" s="3" t="s">
        <v>56</v>
      </c>
      <c r="G75" s="6"/>
      <c r="H75" s="12">
        <v>2</v>
      </c>
      <c r="I75" s="13"/>
      <c r="J75" s="13">
        <v>2</v>
      </c>
      <c r="K75" s="14"/>
      <c r="L75" s="18">
        <v>2</v>
      </c>
      <c r="M75" s="19"/>
      <c r="N75" s="32">
        <v>2</v>
      </c>
      <c r="O75" s="20"/>
      <c r="P75" s="46" t="s">
        <v>51</v>
      </c>
      <c r="Q75" s="47">
        <v>35</v>
      </c>
      <c r="R75" s="26" t="s">
        <v>41</v>
      </c>
      <c r="S75" s="51" t="s">
        <v>51</v>
      </c>
      <c r="T75" s="107">
        <v>25</v>
      </c>
      <c r="U75" s="108"/>
      <c r="V75" s="51" t="s">
        <v>41</v>
      </c>
      <c r="W75" s="55"/>
      <c r="X75" s="1"/>
    </row>
    <row r="76" spans="2:24" ht="24.9" customHeight="1" thickBot="1" x14ac:dyDescent="0.35">
      <c r="B76" s="7"/>
      <c r="C76" s="3" t="s">
        <v>126</v>
      </c>
      <c r="D76" s="4">
        <v>46094</v>
      </c>
      <c r="E76" s="5" t="s">
        <v>27</v>
      </c>
      <c r="F76" s="3" t="s">
        <v>66</v>
      </c>
      <c r="G76" s="6"/>
      <c r="H76" s="12">
        <v>2</v>
      </c>
      <c r="I76" s="13"/>
      <c r="J76" s="13">
        <v>2</v>
      </c>
      <c r="K76" s="14"/>
      <c r="L76" s="18"/>
      <c r="M76" s="19"/>
      <c r="N76" s="32"/>
      <c r="O76" s="20"/>
      <c r="P76" s="25" t="s">
        <v>51</v>
      </c>
      <c r="Q76" s="35">
        <v>25</v>
      </c>
      <c r="R76" s="26"/>
      <c r="S76" s="51"/>
      <c r="T76" s="107"/>
      <c r="U76" s="108"/>
      <c r="V76" s="51"/>
      <c r="W76" s="55"/>
      <c r="X76" s="1"/>
    </row>
    <row r="77" spans="2:24" ht="24.9" customHeight="1" thickBot="1" x14ac:dyDescent="0.35">
      <c r="B77" s="7"/>
      <c r="C77" s="3" t="s">
        <v>127</v>
      </c>
      <c r="D77" s="4">
        <v>46094</v>
      </c>
      <c r="E77" s="5" t="s">
        <v>25</v>
      </c>
      <c r="F77" s="3" t="s">
        <v>56</v>
      </c>
      <c r="G77" s="6" t="s">
        <v>128</v>
      </c>
      <c r="H77" s="12">
        <v>2</v>
      </c>
      <c r="I77" s="13"/>
      <c r="J77" s="13"/>
      <c r="K77" s="14"/>
      <c r="L77" s="18"/>
      <c r="M77" s="19"/>
      <c r="N77" s="32"/>
      <c r="O77" s="20"/>
      <c r="P77" s="25"/>
      <c r="Q77" s="35"/>
      <c r="R77" s="26"/>
      <c r="S77" s="51"/>
      <c r="T77" s="107"/>
      <c r="U77" s="108"/>
      <c r="V77" s="51"/>
      <c r="W77" s="55"/>
      <c r="X77" s="1"/>
    </row>
    <row r="78" spans="2:24" ht="24.9" customHeight="1" thickBot="1" x14ac:dyDescent="0.35">
      <c r="B78" s="7"/>
      <c r="C78" s="3" t="s">
        <v>129</v>
      </c>
      <c r="D78" s="4">
        <v>46094</v>
      </c>
      <c r="E78" s="5" t="s">
        <v>23</v>
      </c>
      <c r="F78" s="3" t="s">
        <v>20</v>
      </c>
      <c r="G78" s="6" t="s">
        <v>130</v>
      </c>
      <c r="H78" s="12">
        <v>2</v>
      </c>
      <c r="I78" s="13"/>
      <c r="J78" s="13"/>
      <c r="K78" s="14"/>
      <c r="L78" s="18"/>
      <c r="M78" s="19"/>
      <c r="N78" s="32"/>
      <c r="O78" s="20"/>
      <c r="P78" s="46" t="s">
        <v>51</v>
      </c>
      <c r="Q78" s="47">
        <v>52</v>
      </c>
      <c r="R78" s="26"/>
      <c r="S78" s="51"/>
      <c r="T78" s="107"/>
      <c r="U78" s="108"/>
      <c r="V78" s="51"/>
      <c r="W78" s="55"/>
      <c r="X78" s="1"/>
    </row>
    <row r="79" spans="2:24" ht="24.9" customHeight="1" thickBot="1" x14ac:dyDescent="0.35">
      <c r="B79" s="7"/>
      <c r="C79" s="3"/>
      <c r="D79" s="4"/>
      <c r="E79" s="5"/>
      <c r="F79" s="3"/>
      <c r="G79" s="6"/>
      <c r="H79" s="12"/>
      <c r="I79" s="13"/>
      <c r="J79" s="13"/>
      <c r="K79" s="14"/>
      <c r="L79" s="18"/>
      <c r="M79" s="19"/>
      <c r="N79" s="32"/>
      <c r="O79" s="20"/>
      <c r="P79" s="46" t="s">
        <v>131</v>
      </c>
      <c r="Q79" s="47">
        <v>26</v>
      </c>
      <c r="R79" s="26"/>
      <c r="S79" s="51"/>
      <c r="T79" s="107"/>
      <c r="U79" s="108"/>
      <c r="V79" s="51"/>
      <c r="W79" s="55"/>
      <c r="X79" s="1"/>
    </row>
    <row r="80" spans="2:24" ht="24.9" customHeight="1" thickBot="1" x14ac:dyDescent="0.35">
      <c r="B80" s="7"/>
      <c r="C80" s="3">
        <v>63</v>
      </c>
      <c r="D80" s="4">
        <v>46094</v>
      </c>
      <c r="E80" s="5" t="s">
        <v>116</v>
      </c>
      <c r="F80" s="3" t="s">
        <v>20</v>
      </c>
      <c r="G80" s="6"/>
      <c r="H80" s="12">
        <v>1</v>
      </c>
      <c r="I80" s="13"/>
      <c r="J80" s="13"/>
      <c r="K80" s="14"/>
      <c r="L80" s="18"/>
      <c r="M80" s="19"/>
      <c r="N80" s="32"/>
      <c r="O80" s="20"/>
      <c r="P80" s="25"/>
      <c r="Q80" s="35"/>
      <c r="R80" s="26"/>
      <c r="S80" s="51"/>
      <c r="T80" s="107"/>
      <c r="U80" s="108"/>
      <c r="V80" s="51"/>
      <c r="W80" s="55"/>
      <c r="X80" s="1"/>
    </row>
    <row r="81" spans="2:24" ht="24.9" customHeight="1" thickBot="1" x14ac:dyDescent="0.35">
      <c r="B81" s="7"/>
      <c r="C81" s="3" t="s">
        <v>132</v>
      </c>
      <c r="D81" s="4">
        <v>46094</v>
      </c>
      <c r="E81" s="5" t="s">
        <v>25</v>
      </c>
      <c r="F81" s="3" t="s">
        <v>182</v>
      </c>
      <c r="G81" s="6"/>
      <c r="H81" s="12">
        <v>1</v>
      </c>
      <c r="I81" s="13"/>
      <c r="J81" s="13">
        <v>1</v>
      </c>
      <c r="K81" s="14"/>
      <c r="L81" s="18">
        <v>1</v>
      </c>
      <c r="M81" s="19"/>
      <c r="N81" s="32">
        <v>1</v>
      </c>
      <c r="O81" s="20"/>
      <c r="P81" s="25"/>
      <c r="Q81" s="35"/>
      <c r="R81" s="26"/>
      <c r="S81" s="51"/>
      <c r="T81" s="107"/>
      <c r="U81" s="108"/>
      <c r="V81" s="51"/>
      <c r="W81" s="55"/>
      <c r="X81" s="1"/>
    </row>
    <row r="82" spans="2:24" ht="24.9" customHeight="1" thickBot="1" x14ac:dyDescent="0.35">
      <c r="B82" s="7"/>
      <c r="C82" s="3" t="s">
        <v>133</v>
      </c>
      <c r="D82" s="4">
        <v>46094</v>
      </c>
      <c r="E82" s="5" t="s">
        <v>134</v>
      </c>
      <c r="F82" s="3" t="s">
        <v>26</v>
      </c>
      <c r="G82" s="6"/>
      <c r="H82" s="12">
        <v>2</v>
      </c>
      <c r="I82" s="13"/>
      <c r="J82" s="13"/>
      <c r="K82" s="14"/>
      <c r="L82" s="18">
        <v>1</v>
      </c>
      <c r="M82" s="19"/>
      <c r="N82" s="32"/>
      <c r="O82" s="20"/>
      <c r="P82" s="46" t="s">
        <v>88</v>
      </c>
      <c r="Q82" s="47">
        <v>42</v>
      </c>
      <c r="R82" s="26" t="s">
        <v>36</v>
      </c>
      <c r="S82" s="51" t="s">
        <v>88</v>
      </c>
      <c r="T82" s="107">
        <v>25</v>
      </c>
      <c r="U82" s="108"/>
      <c r="V82" s="51" t="s">
        <v>36</v>
      </c>
      <c r="W82" s="55"/>
      <c r="X82" s="1"/>
    </row>
    <row r="83" spans="2:24" ht="24.9" customHeight="1" thickBot="1" x14ac:dyDescent="0.35">
      <c r="B83" s="7"/>
      <c r="C83" s="3" t="s">
        <v>135</v>
      </c>
      <c r="D83" s="4">
        <v>46095</v>
      </c>
      <c r="E83" s="5" t="s">
        <v>25</v>
      </c>
      <c r="F83" s="3"/>
      <c r="G83" s="6"/>
      <c r="H83" s="12">
        <v>1</v>
      </c>
      <c r="I83" s="13"/>
      <c r="J83" s="13"/>
      <c r="K83" s="14"/>
      <c r="L83" s="18"/>
      <c r="M83" s="19"/>
      <c r="N83" s="32"/>
      <c r="O83" s="20"/>
      <c r="P83" s="46"/>
      <c r="Q83" s="47"/>
      <c r="R83" s="26"/>
      <c r="S83" s="51"/>
      <c r="T83" s="107"/>
      <c r="U83" s="108"/>
      <c r="V83" s="51"/>
      <c r="W83" s="55"/>
      <c r="X83" s="1"/>
    </row>
    <row r="84" spans="2:24" ht="24.9" customHeight="1" thickBot="1" x14ac:dyDescent="0.35">
      <c r="B84" s="7"/>
      <c r="C84" s="3" t="s">
        <v>136</v>
      </c>
      <c r="D84" s="4">
        <v>46095</v>
      </c>
      <c r="E84" s="5" t="s">
        <v>25</v>
      </c>
      <c r="F84" s="3"/>
      <c r="G84" s="6"/>
      <c r="H84" s="12">
        <v>1</v>
      </c>
      <c r="I84" s="13"/>
      <c r="J84" s="13"/>
      <c r="K84" s="14"/>
      <c r="L84" s="18"/>
      <c r="M84" s="19"/>
      <c r="N84" s="32"/>
      <c r="O84" s="20"/>
      <c r="P84" s="25"/>
      <c r="Q84" s="35"/>
      <c r="R84" s="26"/>
      <c r="S84" s="51"/>
      <c r="T84" s="107"/>
      <c r="U84" s="108"/>
      <c r="V84" s="51"/>
      <c r="W84" s="55"/>
      <c r="X84" s="1"/>
    </row>
    <row r="85" spans="2:24" ht="24.9" customHeight="1" thickBot="1" x14ac:dyDescent="0.35">
      <c r="B85" s="7"/>
      <c r="C85" s="3" t="s">
        <v>137</v>
      </c>
      <c r="D85" s="4">
        <v>46096</v>
      </c>
      <c r="E85" s="5" t="s">
        <v>25</v>
      </c>
      <c r="F85" s="3"/>
      <c r="G85" s="6"/>
      <c r="H85" s="12">
        <v>1</v>
      </c>
      <c r="I85" s="13"/>
      <c r="J85" s="13"/>
      <c r="K85" s="14"/>
      <c r="L85" s="18"/>
      <c r="M85" s="19"/>
      <c r="N85" s="32"/>
      <c r="O85" s="20"/>
      <c r="P85" s="25"/>
      <c r="Q85" s="35"/>
      <c r="R85" s="26"/>
      <c r="S85" s="51"/>
      <c r="T85" s="107"/>
      <c r="U85" s="108"/>
      <c r="V85" s="51"/>
      <c r="W85" s="55"/>
      <c r="X85" s="1"/>
    </row>
    <row r="86" spans="2:24" ht="24.9" customHeight="1" thickBot="1" x14ac:dyDescent="0.35">
      <c r="B86" s="7"/>
      <c r="C86" s="3" t="s">
        <v>138</v>
      </c>
      <c r="D86" s="4">
        <v>46094</v>
      </c>
      <c r="E86" s="5" t="s">
        <v>27</v>
      </c>
      <c r="F86" s="3"/>
      <c r="G86" s="6"/>
      <c r="H86" s="12">
        <v>1</v>
      </c>
      <c r="I86" s="13"/>
      <c r="J86" s="13"/>
      <c r="K86" s="14"/>
      <c r="L86" s="18"/>
      <c r="M86" s="19"/>
      <c r="N86" s="32"/>
      <c r="O86" s="20"/>
      <c r="P86" s="46"/>
      <c r="Q86" s="47"/>
      <c r="R86" s="26"/>
      <c r="S86" s="51"/>
      <c r="T86" s="107"/>
      <c r="U86" s="108"/>
      <c r="V86" s="51"/>
      <c r="W86" s="55"/>
      <c r="X86" s="1"/>
    </row>
    <row r="87" spans="2:24" ht="24.9" customHeight="1" thickBot="1" x14ac:dyDescent="0.35">
      <c r="B87" s="7"/>
      <c r="C87" s="3" t="s">
        <v>139</v>
      </c>
      <c r="D87" s="4">
        <v>46093</v>
      </c>
      <c r="E87" s="5" t="s">
        <v>27</v>
      </c>
      <c r="F87" s="3"/>
      <c r="G87" s="6"/>
      <c r="H87" s="12">
        <v>1</v>
      </c>
      <c r="I87" s="13"/>
      <c r="J87" s="13"/>
      <c r="K87" s="14"/>
      <c r="L87" s="18"/>
      <c r="M87" s="19"/>
      <c r="N87" s="32"/>
      <c r="O87" s="20"/>
      <c r="P87" s="46"/>
      <c r="Q87" s="47"/>
      <c r="R87" s="26"/>
      <c r="S87" s="51"/>
      <c r="T87" s="107"/>
      <c r="U87" s="108"/>
      <c r="V87" s="51"/>
      <c r="W87" s="55"/>
      <c r="X87" s="1"/>
    </row>
    <row r="88" spans="2:24" ht="24.9" customHeight="1" thickBot="1" x14ac:dyDescent="0.35">
      <c r="B88" s="7"/>
      <c r="C88" s="3" t="s">
        <v>140</v>
      </c>
      <c r="D88" s="4">
        <v>46092</v>
      </c>
      <c r="E88" s="5" t="s">
        <v>25</v>
      </c>
      <c r="F88" s="3"/>
      <c r="G88" s="6"/>
      <c r="H88" s="12">
        <v>1</v>
      </c>
      <c r="I88" s="13"/>
      <c r="J88" s="13"/>
      <c r="K88" s="14"/>
      <c r="L88" s="18"/>
      <c r="M88" s="19"/>
      <c r="N88" s="32"/>
      <c r="O88" s="20"/>
      <c r="P88" s="25"/>
      <c r="Q88" s="35"/>
      <c r="R88" s="26"/>
      <c r="S88" s="51"/>
      <c r="T88" s="107"/>
      <c r="U88" s="108"/>
      <c r="V88" s="51"/>
      <c r="W88" s="55"/>
      <c r="X88" s="1"/>
    </row>
    <row r="89" spans="2:24" ht="24.9" customHeight="1" thickBot="1" x14ac:dyDescent="0.35">
      <c r="B89" s="7"/>
      <c r="C89" s="3" t="s">
        <v>141</v>
      </c>
      <c r="D89" s="4">
        <v>46091</v>
      </c>
      <c r="E89" s="5" t="s">
        <v>27</v>
      </c>
      <c r="F89" s="3"/>
      <c r="G89" s="6"/>
      <c r="H89" s="12">
        <v>1</v>
      </c>
      <c r="I89" s="13"/>
      <c r="J89" s="13"/>
      <c r="K89" s="14"/>
      <c r="L89" s="18"/>
      <c r="M89" s="19"/>
      <c r="N89" s="32"/>
      <c r="O89" s="20"/>
      <c r="P89" s="25"/>
      <c r="Q89" s="35"/>
      <c r="R89" s="26"/>
      <c r="S89" s="51"/>
      <c r="T89" s="107"/>
      <c r="U89" s="108"/>
      <c r="V89" s="51"/>
      <c r="W89" s="55"/>
      <c r="X89" s="1"/>
    </row>
    <row r="90" spans="2:24" ht="24.9" customHeight="1" thickBot="1" x14ac:dyDescent="0.35">
      <c r="B90" s="7"/>
      <c r="C90" s="3" t="s">
        <v>142</v>
      </c>
      <c r="D90" s="4">
        <v>46090</v>
      </c>
      <c r="E90" s="5" t="s">
        <v>27</v>
      </c>
      <c r="F90" s="3"/>
      <c r="G90" s="6"/>
      <c r="H90" s="12">
        <v>1</v>
      </c>
      <c r="I90" s="13"/>
      <c r="J90" s="13"/>
      <c r="K90" s="14"/>
      <c r="L90" s="18"/>
      <c r="M90" s="19"/>
      <c r="N90" s="32"/>
      <c r="O90" s="20"/>
      <c r="P90" s="46"/>
      <c r="Q90" s="47"/>
      <c r="R90" s="26"/>
      <c r="S90" s="51"/>
      <c r="T90" s="107"/>
      <c r="U90" s="108"/>
      <c r="V90" s="51"/>
      <c r="W90" s="55"/>
      <c r="X90" s="1"/>
    </row>
    <row r="91" spans="2:24" ht="24.9" customHeight="1" thickBot="1" x14ac:dyDescent="0.35">
      <c r="B91" s="7"/>
      <c r="C91" s="3" t="s">
        <v>143</v>
      </c>
      <c r="D91" s="4">
        <v>46097</v>
      </c>
      <c r="E91" s="5" t="s">
        <v>25</v>
      </c>
      <c r="F91" s="3"/>
      <c r="G91" s="6"/>
      <c r="H91" s="12">
        <v>1</v>
      </c>
      <c r="I91" s="13"/>
      <c r="J91" s="13"/>
      <c r="K91" s="14"/>
      <c r="L91" s="18"/>
      <c r="M91" s="19"/>
      <c r="N91" s="32"/>
      <c r="O91" s="20"/>
      <c r="P91" s="46"/>
      <c r="Q91" s="47"/>
      <c r="R91" s="26"/>
      <c r="S91" s="51"/>
      <c r="T91" s="107"/>
      <c r="U91" s="108"/>
      <c r="V91" s="51"/>
      <c r="W91" s="55"/>
      <c r="X91" s="1"/>
    </row>
    <row r="92" spans="2:24" ht="24.9" customHeight="1" thickBot="1" x14ac:dyDescent="0.35">
      <c r="B92" s="7"/>
      <c r="C92" s="3" t="s">
        <v>144</v>
      </c>
      <c r="D92" s="4">
        <v>46098</v>
      </c>
      <c r="E92" s="5" t="s">
        <v>25</v>
      </c>
      <c r="F92" s="3" t="s">
        <v>82</v>
      </c>
      <c r="G92" s="6"/>
      <c r="H92" s="12">
        <v>1</v>
      </c>
      <c r="I92" s="13"/>
      <c r="J92" s="13"/>
      <c r="K92" s="14"/>
      <c r="L92" s="18"/>
      <c r="M92" s="19"/>
      <c r="N92" s="32"/>
      <c r="O92" s="20"/>
      <c r="P92" s="25"/>
      <c r="Q92" s="35"/>
      <c r="R92" s="26"/>
      <c r="S92" s="51"/>
      <c r="T92" s="107"/>
      <c r="U92" s="108"/>
      <c r="V92" s="51"/>
      <c r="W92" s="55"/>
      <c r="X92" s="1"/>
    </row>
    <row r="93" spans="2:24" ht="24.9" customHeight="1" thickBot="1" x14ac:dyDescent="0.35">
      <c r="B93" s="7"/>
      <c r="C93" s="3" t="s">
        <v>145</v>
      </c>
      <c r="D93" s="4">
        <v>46099</v>
      </c>
      <c r="E93" s="5" t="s">
        <v>25</v>
      </c>
      <c r="F93" s="3" t="s">
        <v>82</v>
      </c>
      <c r="G93" s="6"/>
      <c r="H93" s="12">
        <v>1</v>
      </c>
      <c r="I93" s="13"/>
      <c r="J93" s="13"/>
      <c r="K93" s="14"/>
      <c r="L93" s="18"/>
      <c r="M93" s="19"/>
      <c r="N93" s="32"/>
      <c r="O93" s="20"/>
      <c r="P93" s="25"/>
      <c r="Q93" s="35"/>
      <c r="R93" s="26"/>
      <c r="S93" s="51"/>
      <c r="T93" s="107"/>
      <c r="U93" s="108"/>
      <c r="V93" s="51"/>
      <c r="W93" s="55"/>
      <c r="X93" s="1"/>
    </row>
    <row r="94" spans="2:24" ht="24.9" customHeight="1" thickBot="1" x14ac:dyDescent="0.35">
      <c r="B94" s="7"/>
      <c r="C94" s="3" t="s">
        <v>146</v>
      </c>
      <c r="D94" s="4">
        <v>46105</v>
      </c>
      <c r="E94" s="5" t="s">
        <v>25</v>
      </c>
      <c r="F94" s="3" t="s">
        <v>82</v>
      </c>
      <c r="G94" s="6"/>
      <c r="H94" s="12">
        <v>1</v>
      </c>
      <c r="I94" s="13"/>
      <c r="J94" s="13"/>
      <c r="K94" s="14"/>
      <c r="L94" s="18"/>
      <c r="M94" s="19"/>
      <c r="N94" s="32"/>
      <c r="O94" s="20"/>
      <c r="P94" s="46"/>
      <c r="Q94" s="47"/>
      <c r="R94" s="26"/>
      <c r="S94" s="51"/>
      <c r="T94" s="107"/>
      <c r="U94" s="108"/>
      <c r="V94" s="51"/>
      <c r="W94" s="55"/>
      <c r="X94" s="1"/>
    </row>
    <row r="95" spans="2:24" ht="24.9" customHeight="1" thickBot="1" x14ac:dyDescent="0.35">
      <c r="B95" s="7"/>
      <c r="C95" s="3" t="s">
        <v>147</v>
      </c>
      <c r="D95" s="4">
        <v>46106</v>
      </c>
      <c r="E95" s="5" t="s">
        <v>25</v>
      </c>
      <c r="F95" s="3" t="s">
        <v>82</v>
      </c>
      <c r="G95" s="6"/>
      <c r="H95" s="12">
        <v>1</v>
      </c>
      <c r="I95" s="13"/>
      <c r="J95" s="13"/>
      <c r="K95" s="14"/>
      <c r="L95" s="18"/>
      <c r="M95" s="19"/>
      <c r="N95" s="32"/>
      <c r="O95" s="20"/>
      <c r="P95" s="46"/>
      <c r="Q95" s="47"/>
      <c r="R95" s="26"/>
      <c r="S95" s="51"/>
      <c r="T95" s="107"/>
      <c r="U95" s="108"/>
      <c r="V95" s="51"/>
      <c r="W95" s="55"/>
      <c r="X95" s="1"/>
    </row>
    <row r="96" spans="2:24" ht="24.9" customHeight="1" thickBot="1" x14ac:dyDescent="0.35">
      <c r="B96" s="7"/>
      <c r="C96" s="3" t="s">
        <v>148</v>
      </c>
      <c r="D96" s="4">
        <v>46107</v>
      </c>
      <c r="E96" s="5" t="s">
        <v>25</v>
      </c>
      <c r="F96" s="3" t="s">
        <v>149</v>
      </c>
      <c r="G96" s="6"/>
      <c r="H96" s="12">
        <v>2</v>
      </c>
      <c r="I96" s="13"/>
      <c r="J96" s="13"/>
      <c r="K96" s="14"/>
      <c r="L96" s="18"/>
      <c r="M96" s="19"/>
      <c r="N96" s="32"/>
      <c r="O96" s="20"/>
      <c r="P96" s="25"/>
      <c r="Q96" s="35"/>
      <c r="R96" s="26"/>
      <c r="S96" s="51"/>
      <c r="T96" s="107"/>
      <c r="U96" s="108"/>
      <c r="V96" s="51"/>
      <c r="W96" s="55"/>
      <c r="X96" s="1"/>
    </row>
    <row r="97" spans="2:24" ht="24.9" customHeight="1" thickBot="1" x14ac:dyDescent="0.35">
      <c r="B97" s="7"/>
      <c r="C97" s="3">
        <v>80</v>
      </c>
      <c r="D97" s="4">
        <v>46108</v>
      </c>
      <c r="E97" s="5" t="s">
        <v>25</v>
      </c>
      <c r="F97" s="3" t="s">
        <v>82</v>
      </c>
      <c r="G97" s="6"/>
      <c r="H97" s="12">
        <v>1</v>
      </c>
      <c r="I97" s="13"/>
      <c r="J97" s="13"/>
      <c r="K97" s="14"/>
      <c r="L97" s="18"/>
      <c r="M97" s="19"/>
      <c r="N97" s="32"/>
      <c r="O97" s="20"/>
      <c r="P97" s="25"/>
      <c r="Q97" s="35"/>
      <c r="R97" s="26"/>
      <c r="S97" s="51"/>
      <c r="T97" s="107"/>
      <c r="U97" s="108"/>
      <c r="V97" s="51"/>
      <c r="W97" s="55"/>
      <c r="X97" s="1"/>
    </row>
    <row r="98" spans="2:24" ht="24.9" customHeight="1" thickBot="1" x14ac:dyDescent="0.35">
      <c r="B98" s="7"/>
      <c r="C98" s="3" t="s">
        <v>150</v>
      </c>
      <c r="D98" s="4">
        <v>46108</v>
      </c>
      <c r="E98" s="5" t="s">
        <v>25</v>
      </c>
      <c r="F98" s="3" t="s">
        <v>149</v>
      </c>
      <c r="G98" s="6"/>
      <c r="H98" s="12"/>
      <c r="I98" s="13"/>
      <c r="J98" s="13">
        <v>4</v>
      </c>
      <c r="K98" s="14"/>
      <c r="L98" s="18"/>
      <c r="M98" s="19"/>
      <c r="N98" s="32"/>
      <c r="O98" s="20"/>
      <c r="P98" s="46"/>
      <c r="Q98" s="47"/>
      <c r="R98" s="26"/>
      <c r="S98" s="51"/>
      <c r="T98" s="107"/>
      <c r="U98" s="108"/>
      <c r="V98" s="51"/>
      <c r="W98" s="55"/>
      <c r="X98" s="1"/>
    </row>
    <row r="99" spans="2:24" ht="24.9" customHeight="1" thickBot="1" x14ac:dyDescent="0.35">
      <c r="B99" s="7"/>
      <c r="C99" s="3" t="s">
        <v>151</v>
      </c>
      <c r="D99" s="4">
        <v>46109</v>
      </c>
      <c r="E99" s="5" t="s">
        <v>23</v>
      </c>
      <c r="F99" s="3" t="s">
        <v>38</v>
      </c>
      <c r="G99" s="6"/>
      <c r="H99" s="12"/>
      <c r="I99" s="13"/>
      <c r="J99" s="13"/>
      <c r="K99" s="14"/>
      <c r="L99" s="18"/>
      <c r="M99" s="19"/>
      <c r="N99" s="32"/>
      <c r="O99" s="20"/>
      <c r="P99" s="46" t="s">
        <v>152</v>
      </c>
      <c r="Q99" s="47">
        <v>94</v>
      </c>
      <c r="R99" s="26" t="s">
        <v>153</v>
      </c>
      <c r="S99" s="51" t="s">
        <v>152</v>
      </c>
      <c r="T99" s="107">
        <v>94</v>
      </c>
      <c r="U99" s="108"/>
      <c r="V99" s="51" t="s">
        <v>153</v>
      </c>
      <c r="W99" s="55"/>
      <c r="X99" s="1"/>
    </row>
    <row r="100" spans="2:24" ht="24.9" customHeight="1" thickBot="1" x14ac:dyDescent="0.35">
      <c r="B100" s="8"/>
      <c r="C100" s="3" t="s">
        <v>154</v>
      </c>
      <c r="D100" s="4">
        <v>46109</v>
      </c>
      <c r="E100" s="5" t="s">
        <v>25</v>
      </c>
      <c r="F100" s="3" t="s">
        <v>66</v>
      </c>
      <c r="G100" s="6"/>
      <c r="H100" s="12"/>
      <c r="I100" s="13"/>
      <c r="J100" s="13">
        <v>1</v>
      </c>
      <c r="K100" s="14"/>
      <c r="L100" s="18"/>
      <c r="M100" s="19"/>
      <c r="N100" s="32"/>
      <c r="O100" s="20"/>
      <c r="P100" s="25"/>
      <c r="Q100" s="35"/>
      <c r="R100" s="26"/>
      <c r="S100" s="51"/>
      <c r="T100" s="107"/>
      <c r="U100" s="108"/>
      <c r="V100" s="51"/>
      <c r="W100" s="55"/>
      <c r="X100" s="1"/>
    </row>
    <row r="101" spans="2:24" ht="24.9" customHeight="1" thickBot="1" x14ac:dyDescent="0.35">
      <c r="C101" s="3" t="s">
        <v>155</v>
      </c>
      <c r="D101" s="4">
        <v>46110</v>
      </c>
      <c r="E101" s="5" t="s">
        <v>25</v>
      </c>
      <c r="F101" s="3" t="s">
        <v>66</v>
      </c>
      <c r="G101" s="6"/>
      <c r="H101" s="12"/>
      <c r="I101" s="13"/>
      <c r="J101" s="13">
        <v>1</v>
      </c>
      <c r="K101" s="14"/>
      <c r="L101" s="18"/>
      <c r="M101" s="19"/>
      <c r="N101" s="32"/>
      <c r="O101" s="20"/>
      <c r="P101" s="25"/>
      <c r="Q101" s="35"/>
      <c r="R101" s="26"/>
      <c r="S101" s="51"/>
      <c r="T101" s="107"/>
      <c r="U101" s="108"/>
      <c r="V101" s="51"/>
      <c r="W101" s="55"/>
      <c r="X101" s="1"/>
    </row>
    <row r="102" spans="2:24" ht="24.9" customHeight="1" thickBot="1" x14ac:dyDescent="0.35">
      <c r="C102" s="3" t="s">
        <v>156</v>
      </c>
      <c r="D102" s="4">
        <v>46110</v>
      </c>
      <c r="E102" s="5" t="s">
        <v>25</v>
      </c>
      <c r="F102" s="3" t="s">
        <v>149</v>
      </c>
      <c r="G102" s="6"/>
      <c r="H102" s="12">
        <v>2</v>
      </c>
      <c r="I102" s="13"/>
      <c r="J102" s="13"/>
      <c r="K102" s="14"/>
      <c r="L102" s="18">
        <v>2</v>
      </c>
      <c r="M102" s="19"/>
      <c r="N102" s="32"/>
      <c r="O102" s="20"/>
      <c r="P102" s="46"/>
      <c r="Q102" s="47"/>
      <c r="R102" s="26"/>
      <c r="S102" s="51"/>
      <c r="T102" s="107"/>
      <c r="U102" s="108"/>
      <c r="V102" s="51"/>
      <c r="W102" s="55"/>
      <c r="X102" s="1"/>
    </row>
    <row r="103" spans="2:24" ht="24.9" customHeight="1" thickBot="1" x14ac:dyDescent="0.35">
      <c r="C103" s="3" t="s">
        <v>157</v>
      </c>
      <c r="D103" s="4">
        <v>46110</v>
      </c>
      <c r="E103" s="5" t="s">
        <v>25</v>
      </c>
      <c r="F103" s="3" t="s">
        <v>82</v>
      </c>
      <c r="G103" s="6"/>
      <c r="H103" s="12">
        <v>2</v>
      </c>
      <c r="I103" s="13"/>
      <c r="J103" s="13"/>
      <c r="K103" s="14"/>
      <c r="L103" s="18"/>
      <c r="M103" s="19"/>
      <c r="N103" s="32"/>
      <c r="O103" s="20"/>
      <c r="P103" s="46"/>
      <c r="Q103" s="47"/>
      <c r="R103" s="26"/>
      <c r="S103" s="51"/>
      <c r="T103" s="107"/>
      <c r="U103" s="108"/>
      <c r="V103" s="51"/>
      <c r="W103" s="55"/>
      <c r="X103" s="1"/>
    </row>
    <row r="104" spans="2:24" ht="24.9" customHeight="1" thickBot="1" x14ac:dyDescent="0.35">
      <c r="C104" s="3" t="s">
        <v>158</v>
      </c>
      <c r="D104" s="4">
        <v>46111</v>
      </c>
      <c r="E104" s="5" t="s">
        <v>25</v>
      </c>
      <c r="F104" s="3" t="s">
        <v>82</v>
      </c>
      <c r="G104" s="6"/>
      <c r="H104" s="12">
        <v>1</v>
      </c>
      <c r="I104" s="13"/>
      <c r="J104" s="13"/>
      <c r="K104" s="14"/>
      <c r="L104" s="18"/>
      <c r="M104" s="19"/>
      <c r="N104" s="32"/>
      <c r="O104" s="20"/>
      <c r="P104" s="25"/>
      <c r="Q104" s="35"/>
      <c r="R104" s="26"/>
      <c r="S104" s="51"/>
      <c r="T104" s="107"/>
      <c r="U104" s="108"/>
      <c r="V104" s="51"/>
      <c r="W104" s="55"/>
      <c r="X104" s="1"/>
    </row>
    <row r="105" spans="2:24" ht="24.9" customHeight="1" thickBot="1" x14ac:dyDescent="0.35">
      <c r="C105" s="3" t="s">
        <v>159</v>
      </c>
      <c r="D105" s="4">
        <v>46111</v>
      </c>
      <c r="E105" s="5" t="s">
        <v>25</v>
      </c>
      <c r="F105" s="3" t="s">
        <v>82</v>
      </c>
      <c r="G105" s="6"/>
      <c r="H105" s="12"/>
      <c r="I105" s="13"/>
      <c r="J105" s="13">
        <v>1</v>
      </c>
      <c r="K105" s="14"/>
      <c r="L105" s="18"/>
      <c r="M105" s="19"/>
      <c r="N105" s="32"/>
      <c r="O105" s="20"/>
      <c r="P105" s="25"/>
      <c r="Q105" s="35"/>
      <c r="R105" s="26"/>
      <c r="S105" s="51"/>
      <c r="T105" s="107"/>
      <c r="U105" s="108"/>
      <c r="V105" s="51"/>
      <c r="W105" s="55"/>
      <c r="X105" s="1"/>
    </row>
    <row r="106" spans="2:24" ht="24.9" customHeight="1" thickBot="1" x14ac:dyDescent="0.35">
      <c r="C106" s="3" t="s">
        <v>160</v>
      </c>
      <c r="D106" s="4">
        <v>46111</v>
      </c>
      <c r="E106" s="5" t="s">
        <v>25</v>
      </c>
      <c r="F106" s="3" t="s">
        <v>82</v>
      </c>
      <c r="G106" s="6"/>
      <c r="H106" s="12">
        <v>1</v>
      </c>
      <c r="I106" s="13"/>
      <c r="J106" s="13"/>
      <c r="K106" s="14"/>
      <c r="L106" s="18"/>
      <c r="M106" s="19"/>
      <c r="N106" s="32"/>
      <c r="O106" s="20"/>
      <c r="P106" s="46"/>
      <c r="Q106" s="47"/>
      <c r="R106" s="26"/>
      <c r="S106" s="51"/>
      <c r="T106" s="107"/>
      <c r="U106" s="108"/>
      <c r="V106" s="51"/>
      <c r="W106" s="55"/>
      <c r="X106" s="1"/>
    </row>
    <row r="107" spans="2:24" ht="24.9" customHeight="1" thickBot="1" x14ac:dyDescent="0.35">
      <c r="C107" s="3" t="s">
        <v>161</v>
      </c>
      <c r="D107" s="4">
        <v>46112</v>
      </c>
      <c r="E107" s="5" t="s">
        <v>25</v>
      </c>
      <c r="F107" s="3" t="s">
        <v>82</v>
      </c>
      <c r="G107" s="6"/>
      <c r="H107" s="12">
        <v>1</v>
      </c>
      <c r="I107" s="13"/>
      <c r="J107" s="13"/>
      <c r="K107" s="14"/>
      <c r="L107" s="18"/>
      <c r="M107" s="19"/>
      <c r="N107" s="32"/>
      <c r="O107" s="20"/>
      <c r="P107" s="46"/>
      <c r="Q107" s="47"/>
      <c r="R107" s="26"/>
      <c r="S107" s="51"/>
      <c r="T107" s="107"/>
      <c r="U107" s="108"/>
      <c r="V107" s="51"/>
      <c r="W107" s="55"/>
      <c r="X107" s="1"/>
    </row>
    <row r="108" spans="2:24" ht="24.9" customHeight="1" thickBot="1" x14ac:dyDescent="0.35">
      <c r="C108" s="3" t="s">
        <v>162</v>
      </c>
      <c r="D108" s="4">
        <v>46112</v>
      </c>
      <c r="E108" s="5" t="s">
        <v>25</v>
      </c>
      <c r="F108" s="3" t="s">
        <v>82</v>
      </c>
      <c r="G108" s="6"/>
      <c r="H108" s="12">
        <v>7</v>
      </c>
      <c r="I108" s="13"/>
      <c r="J108" s="13"/>
      <c r="K108" s="14"/>
      <c r="L108" s="18"/>
      <c r="M108" s="19"/>
      <c r="N108" s="32"/>
      <c r="O108" s="20"/>
      <c r="P108" s="25"/>
      <c r="Q108" s="35"/>
      <c r="R108" s="26"/>
      <c r="S108" s="51"/>
      <c r="T108" s="107"/>
      <c r="U108" s="108"/>
      <c r="V108" s="51"/>
      <c r="W108" s="55"/>
      <c r="X108" s="1"/>
    </row>
    <row r="109" spans="2:24" ht="24.9" customHeight="1" thickBot="1" x14ac:dyDescent="0.35">
      <c r="C109" s="3" t="s">
        <v>163</v>
      </c>
      <c r="D109" s="4">
        <v>46110</v>
      </c>
      <c r="E109" s="5" t="s">
        <v>27</v>
      </c>
      <c r="F109" s="3" t="s">
        <v>164</v>
      </c>
      <c r="G109" s="6"/>
      <c r="H109" s="12">
        <v>6</v>
      </c>
      <c r="I109" s="13"/>
      <c r="J109" s="13"/>
      <c r="K109" s="14"/>
      <c r="L109" s="18">
        <v>6</v>
      </c>
      <c r="M109" s="19"/>
      <c r="N109" s="32"/>
      <c r="O109" s="20"/>
      <c r="P109" s="25"/>
      <c r="Q109" s="35"/>
      <c r="R109" s="26"/>
      <c r="S109" s="51"/>
      <c r="T109" s="107"/>
      <c r="U109" s="108"/>
      <c r="V109" s="51"/>
      <c r="W109" s="55"/>
      <c r="X109" s="1"/>
    </row>
    <row r="110" spans="2:24" ht="24.9" customHeight="1" thickBot="1" x14ac:dyDescent="0.35">
      <c r="C110" s="3" t="s">
        <v>165</v>
      </c>
      <c r="D110" s="4">
        <v>46113</v>
      </c>
      <c r="E110" s="5" t="s">
        <v>25</v>
      </c>
      <c r="F110" s="3" t="s">
        <v>82</v>
      </c>
      <c r="G110" s="6"/>
      <c r="H110" s="12"/>
      <c r="I110" s="13"/>
      <c r="J110" s="13">
        <v>1</v>
      </c>
      <c r="K110" s="14"/>
      <c r="L110" s="18"/>
      <c r="M110" s="19"/>
      <c r="N110" s="32"/>
      <c r="O110" s="20"/>
      <c r="P110" s="46"/>
      <c r="Q110" s="47"/>
      <c r="R110" s="26"/>
      <c r="S110" s="51"/>
      <c r="T110" s="107"/>
      <c r="U110" s="108"/>
      <c r="V110" s="51"/>
      <c r="W110" s="55"/>
      <c r="X110" s="1"/>
    </row>
    <row r="111" spans="2:24" ht="24.9" customHeight="1" thickBot="1" x14ac:dyDescent="0.35">
      <c r="C111" s="3" t="s">
        <v>166</v>
      </c>
      <c r="D111" s="4">
        <v>46125</v>
      </c>
      <c r="E111" s="5" t="s">
        <v>27</v>
      </c>
      <c r="F111" s="3" t="s">
        <v>26</v>
      </c>
      <c r="G111" s="6"/>
      <c r="H111" s="12">
        <v>1</v>
      </c>
      <c r="I111" s="13"/>
      <c r="J111" s="13">
        <v>2</v>
      </c>
      <c r="K111" s="14"/>
      <c r="L111" s="18">
        <v>1</v>
      </c>
      <c r="M111" s="19"/>
      <c r="N111" s="32">
        <v>2</v>
      </c>
      <c r="O111" s="20"/>
      <c r="P111" s="46"/>
      <c r="Q111" s="47"/>
      <c r="R111" s="26"/>
      <c r="S111" s="51"/>
      <c r="T111" s="107"/>
      <c r="U111" s="108"/>
      <c r="V111" s="51"/>
      <c r="W111" s="55"/>
      <c r="X111" s="1"/>
    </row>
    <row r="112" spans="2:24" ht="24.9" customHeight="1" thickBot="1" x14ac:dyDescent="0.35">
      <c r="C112" s="3" t="s">
        <v>167</v>
      </c>
      <c r="D112" s="4">
        <v>46126</v>
      </c>
      <c r="E112" s="5" t="s">
        <v>27</v>
      </c>
      <c r="F112" s="3" t="s">
        <v>26</v>
      </c>
      <c r="G112" s="6"/>
      <c r="H112" s="12">
        <v>2</v>
      </c>
      <c r="I112" s="13"/>
      <c r="J112" s="13">
        <v>1</v>
      </c>
      <c r="K112" s="14"/>
      <c r="L112" s="18">
        <v>2</v>
      </c>
      <c r="M112" s="19"/>
      <c r="N112" s="32">
        <v>1</v>
      </c>
      <c r="O112" s="20"/>
      <c r="P112" s="25"/>
      <c r="Q112" s="35"/>
      <c r="R112" s="26"/>
      <c r="S112" s="51"/>
      <c r="T112" s="107"/>
      <c r="U112" s="108"/>
      <c r="V112" s="51"/>
      <c r="W112" s="55"/>
      <c r="X112" s="1"/>
    </row>
    <row r="113" spans="3:24" ht="24.9" customHeight="1" thickBot="1" x14ac:dyDescent="0.35">
      <c r="C113" s="3" t="s">
        <v>168</v>
      </c>
      <c r="D113" s="4">
        <v>46127</v>
      </c>
      <c r="E113" s="5" t="s">
        <v>27</v>
      </c>
      <c r="F113" s="3" t="s">
        <v>26</v>
      </c>
      <c r="G113" s="6"/>
      <c r="H113" s="12">
        <v>2</v>
      </c>
      <c r="I113" s="13"/>
      <c r="J113" s="13">
        <v>1</v>
      </c>
      <c r="K113" s="14"/>
      <c r="L113" s="18"/>
      <c r="M113" s="19"/>
      <c r="N113" s="32"/>
      <c r="O113" s="20"/>
      <c r="P113" s="46"/>
      <c r="Q113" s="47"/>
      <c r="R113" s="26"/>
      <c r="S113" s="51"/>
      <c r="T113" s="107"/>
      <c r="U113" s="108"/>
      <c r="V113" s="51"/>
      <c r="W113" s="55"/>
      <c r="X113" s="1"/>
    </row>
    <row r="114" spans="3:24" ht="24.9" customHeight="1" thickBot="1" x14ac:dyDescent="0.35">
      <c r="C114" s="3" t="s">
        <v>169</v>
      </c>
      <c r="D114" s="4">
        <v>46128</v>
      </c>
      <c r="E114" s="5" t="s">
        <v>27</v>
      </c>
      <c r="F114" s="3" t="s">
        <v>26</v>
      </c>
      <c r="G114" s="6"/>
      <c r="H114" s="12">
        <v>2</v>
      </c>
      <c r="I114" s="13"/>
      <c r="J114" s="13">
        <v>1</v>
      </c>
      <c r="K114" s="14"/>
      <c r="L114" s="18"/>
      <c r="M114" s="19"/>
      <c r="N114" s="32"/>
      <c r="O114" s="20"/>
      <c r="P114" s="46" t="s">
        <v>51</v>
      </c>
      <c r="Q114" s="47">
        <v>15</v>
      </c>
      <c r="R114" s="26" t="s">
        <v>41</v>
      </c>
      <c r="S114" s="51"/>
      <c r="T114" s="107"/>
      <c r="U114" s="108"/>
      <c r="V114" s="51"/>
      <c r="W114" s="55"/>
      <c r="X114" s="1"/>
    </row>
    <row r="115" spans="3:24" ht="24.9" customHeight="1" thickBot="1" x14ac:dyDescent="0.35">
      <c r="C115" s="3" t="s">
        <v>170</v>
      </c>
      <c r="D115" s="4">
        <v>46129</v>
      </c>
      <c r="E115" s="5" t="s">
        <v>27</v>
      </c>
      <c r="F115" s="3" t="s">
        <v>26</v>
      </c>
      <c r="G115" s="6"/>
      <c r="H115" s="12">
        <v>2</v>
      </c>
      <c r="I115" s="13"/>
      <c r="J115" s="13">
        <v>1</v>
      </c>
      <c r="K115" s="14"/>
      <c r="L115" s="18"/>
      <c r="M115" s="19"/>
      <c r="N115" s="32"/>
      <c r="O115" s="20"/>
      <c r="P115" s="46" t="s">
        <v>51</v>
      </c>
      <c r="Q115" s="35">
        <v>15</v>
      </c>
      <c r="R115" s="26" t="s">
        <v>41</v>
      </c>
      <c r="S115" s="51"/>
      <c r="T115" s="107"/>
      <c r="U115" s="108"/>
      <c r="V115" s="51"/>
      <c r="W115" s="55"/>
      <c r="X115" s="1"/>
    </row>
    <row r="116" spans="3:24" ht="24.9" customHeight="1" thickBot="1" x14ac:dyDescent="0.35">
      <c r="C116" s="3" t="s">
        <v>171</v>
      </c>
      <c r="D116" s="4">
        <v>46130</v>
      </c>
      <c r="E116" s="5" t="s">
        <v>27</v>
      </c>
      <c r="F116" s="3" t="s">
        <v>26</v>
      </c>
      <c r="G116" s="6"/>
      <c r="H116" s="12">
        <v>2</v>
      </c>
      <c r="I116" s="13"/>
      <c r="J116" s="13">
        <v>1</v>
      </c>
      <c r="K116" s="14"/>
      <c r="L116" s="18"/>
      <c r="M116" s="19"/>
      <c r="N116" s="32"/>
      <c r="O116" s="20"/>
      <c r="P116" s="46" t="s">
        <v>51</v>
      </c>
      <c r="Q116" s="47">
        <v>15</v>
      </c>
      <c r="R116" s="26"/>
      <c r="S116" s="51"/>
      <c r="T116" s="107"/>
      <c r="U116" s="108"/>
      <c r="V116" s="51"/>
      <c r="W116" s="55"/>
      <c r="X116" s="1"/>
    </row>
    <row r="117" spans="3:24" ht="24.9" customHeight="1" thickBot="1" x14ac:dyDescent="0.35">
      <c r="C117" s="3" t="s">
        <v>172</v>
      </c>
      <c r="D117" s="4">
        <v>46131</v>
      </c>
      <c r="E117" s="5" t="s">
        <v>27</v>
      </c>
      <c r="F117" s="3" t="s">
        <v>26</v>
      </c>
      <c r="G117" s="6"/>
      <c r="H117" s="12">
        <v>2</v>
      </c>
      <c r="I117" s="13"/>
      <c r="J117" s="13">
        <v>1</v>
      </c>
      <c r="K117" s="14"/>
      <c r="L117" s="18"/>
      <c r="M117" s="19"/>
      <c r="N117" s="32"/>
      <c r="O117" s="20"/>
      <c r="P117" s="46" t="s">
        <v>51</v>
      </c>
      <c r="Q117" s="47">
        <v>15</v>
      </c>
      <c r="R117" s="26"/>
      <c r="S117" s="51"/>
      <c r="T117" s="107"/>
      <c r="U117" s="108"/>
      <c r="V117" s="51"/>
      <c r="W117" s="55"/>
      <c r="X117" s="1"/>
    </row>
    <row r="118" spans="3:24" ht="24.9" customHeight="1" thickBot="1" x14ac:dyDescent="0.35">
      <c r="C118" s="3" t="s">
        <v>173</v>
      </c>
      <c r="D118" s="4">
        <v>46132</v>
      </c>
      <c r="E118" s="5" t="s">
        <v>27</v>
      </c>
      <c r="F118" s="3" t="s">
        <v>26</v>
      </c>
      <c r="G118" s="6"/>
      <c r="H118" s="12">
        <v>2</v>
      </c>
      <c r="I118" s="13"/>
      <c r="J118" s="13">
        <v>1</v>
      </c>
      <c r="K118" s="14"/>
      <c r="L118" s="18"/>
      <c r="M118" s="19"/>
      <c r="N118" s="32"/>
      <c r="O118" s="20"/>
      <c r="P118" s="46" t="s">
        <v>51</v>
      </c>
      <c r="Q118" s="47">
        <v>15</v>
      </c>
      <c r="R118" s="26"/>
      <c r="S118" s="51"/>
      <c r="T118" s="107"/>
      <c r="U118" s="108"/>
      <c r="V118" s="51"/>
      <c r="W118" s="55"/>
      <c r="X118" s="1"/>
    </row>
    <row r="119" spans="3:24" ht="24.9" customHeight="1" thickBot="1" x14ac:dyDescent="0.35">
      <c r="C119" s="3" t="s">
        <v>174</v>
      </c>
      <c r="D119" s="4">
        <v>46133</v>
      </c>
      <c r="E119" s="5" t="s">
        <v>27</v>
      </c>
      <c r="F119" s="3" t="s">
        <v>26</v>
      </c>
      <c r="G119" s="6"/>
      <c r="H119" s="12">
        <v>2</v>
      </c>
      <c r="I119" s="13"/>
      <c r="J119" s="13">
        <v>1</v>
      </c>
      <c r="K119" s="14"/>
      <c r="L119" s="18"/>
      <c r="M119" s="19"/>
      <c r="N119" s="32"/>
      <c r="O119" s="20"/>
      <c r="P119" s="46" t="s">
        <v>51</v>
      </c>
      <c r="Q119" s="47">
        <v>15</v>
      </c>
      <c r="R119" s="26"/>
      <c r="S119" s="51"/>
      <c r="T119" s="107"/>
      <c r="U119" s="108"/>
      <c r="V119" s="51"/>
      <c r="W119" s="55"/>
      <c r="X119" s="1"/>
    </row>
    <row r="120" spans="3:24" ht="24.9" customHeight="1" thickBot="1" x14ac:dyDescent="0.35">
      <c r="C120" s="3" t="s">
        <v>175</v>
      </c>
      <c r="D120" s="4">
        <v>46134</v>
      </c>
      <c r="E120" s="5" t="s">
        <v>27</v>
      </c>
      <c r="F120" s="3" t="s">
        <v>26</v>
      </c>
      <c r="G120" s="6"/>
      <c r="H120" s="12">
        <v>2</v>
      </c>
      <c r="I120" s="13"/>
      <c r="J120" s="13">
        <v>1</v>
      </c>
      <c r="K120" s="14"/>
      <c r="L120" s="18"/>
      <c r="M120" s="19"/>
      <c r="N120" s="32"/>
      <c r="O120" s="20"/>
      <c r="P120" s="46" t="s">
        <v>51</v>
      </c>
      <c r="Q120" s="47">
        <v>15</v>
      </c>
      <c r="R120" s="26"/>
      <c r="S120" s="51"/>
      <c r="T120" s="107"/>
      <c r="U120" s="108"/>
      <c r="V120" s="51"/>
      <c r="W120" s="55"/>
      <c r="X120" s="1"/>
    </row>
    <row r="121" spans="3:24" ht="24.9" customHeight="1" thickBot="1" x14ac:dyDescent="0.35">
      <c r="C121" s="3" t="s">
        <v>176</v>
      </c>
      <c r="D121" s="4">
        <v>46135</v>
      </c>
      <c r="E121" s="5" t="s">
        <v>27</v>
      </c>
      <c r="F121" s="3" t="s">
        <v>26</v>
      </c>
      <c r="G121" s="6"/>
      <c r="H121" s="12">
        <v>2</v>
      </c>
      <c r="I121" s="13"/>
      <c r="J121" s="13">
        <v>1</v>
      </c>
      <c r="K121" s="14"/>
      <c r="L121" s="18"/>
      <c r="M121" s="19"/>
      <c r="N121" s="32"/>
      <c r="O121" s="20"/>
      <c r="P121" s="46" t="s">
        <v>51</v>
      </c>
      <c r="Q121" s="47">
        <v>15</v>
      </c>
      <c r="R121" s="26"/>
      <c r="S121" s="51"/>
      <c r="T121" s="107"/>
      <c r="U121" s="108"/>
      <c r="V121" s="51"/>
      <c r="W121" s="55"/>
      <c r="X121" s="1"/>
    </row>
    <row r="122" spans="3:24" ht="24.9" customHeight="1" thickBot="1" x14ac:dyDescent="0.35">
      <c r="C122" s="3" t="s">
        <v>177</v>
      </c>
      <c r="D122" s="4">
        <v>46136</v>
      </c>
      <c r="E122" s="5" t="s">
        <v>27</v>
      </c>
      <c r="F122" s="3" t="s">
        <v>26</v>
      </c>
      <c r="G122" s="6"/>
      <c r="H122" s="12">
        <v>2</v>
      </c>
      <c r="I122" s="13"/>
      <c r="J122" s="13">
        <v>1</v>
      </c>
      <c r="K122" s="14"/>
      <c r="L122" s="18"/>
      <c r="M122" s="19"/>
      <c r="N122" s="32"/>
      <c r="O122" s="20"/>
      <c r="P122" s="46" t="s">
        <v>51</v>
      </c>
      <c r="Q122" s="47">
        <v>30</v>
      </c>
      <c r="R122" s="26"/>
      <c r="S122" s="51"/>
      <c r="T122" s="107"/>
      <c r="U122" s="108"/>
      <c r="V122" s="51"/>
      <c r="W122" s="55"/>
      <c r="X122" s="1"/>
    </row>
    <row r="123" spans="3:24" ht="24.9" customHeight="1" thickBot="1" x14ac:dyDescent="0.35">
      <c r="C123" s="3" t="s">
        <v>178</v>
      </c>
      <c r="D123" s="4">
        <v>46137</v>
      </c>
      <c r="E123" s="5" t="s">
        <v>27</v>
      </c>
      <c r="F123" s="3" t="s">
        <v>26</v>
      </c>
      <c r="G123" s="6"/>
      <c r="H123" s="12">
        <v>2</v>
      </c>
      <c r="I123" s="13"/>
      <c r="J123" s="13">
        <v>1</v>
      </c>
      <c r="K123" s="14"/>
      <c r="L123" s="18"/>
      <c r="M123" s="19"/>
      <c r="N123" s="32"/>
      <c r="O123" s="20"/>
      <c r="P123" s="46" t="s">
        <v>51</v>
      </c>
      <c r="Q123" s="47">
        <v>25</v>
      </c>
      <c r="R123" s="26"/>
      <c r="S123" s="51"/>
      <c r="T123" s="107"/>
      <c r="U123" s="108"/>
      <c r="V123" s="51"/>
      <c r="W123" s="55"/>
      <c r="X123" s="1"/>
    </row>
    <row r="124" spans="3:24" ht="24.9" customHeight="1" thickBot="1" x14ac:dyDescent="0.35">
      <c r="C124" s="3"/>
      <c r="D124" s="4"/>
      <c r="E124" s="5"/>
      <c r="F124" s="3"/>
      <c r="G124" s="6"/>
      <c r="H124" s="12"/>
      <c r="I124" s="13"/>
      <c r="J124" s="13"/>
      <c r="K124" s="14"/>
      <c r="L124" s="18"/>
      <c r="M124" s="19"/>
      <c r="N124" s="32"/>
      <c r="O124" s="20"/>
      <c r="P124" s="25"/>
      <c r="Q124" s="35"/>
      <c r="R124" s="26"/>
      <c r="S124" s="51"/>
      <c r="T124" s="107"/>
      <c r="U124" s="108"/>
      <c r="V124" s="51"/>
      <c r="W124" s="55"/>
      <c r="X124" s="1"/>
    </row>
    <row r="125" spans="3:24" ht="24.9" customHeight="1" thickBot="1" x14ac:dyDescent="0.35">
      <c r="C125" s="3"/>
      <c r="D125" s="4"/>
      <c r="E125" s="5"/>
      <c r="F125" s="3"/>
      <c r="G125" s="6"/>
      <c r="H125" s="12"/>
      <c r="I125" s="13"/>
      <c r="J125" s="13"/>
      <c r="K125" s="14"/>
      <c r="L125" s="18"/>
      <c r="M125" s="19"/>
      <c r="N125" s="32"/>
      <c r="O125" s="20"/>
      <c r="P125" s="46"/>
      <c r="Q125" s="47"/>
      <c r="R125" s="26"/>
      <c r="S125" s="51"/>
      <c r="T125" s="107"/>
      <c r="U125" s="108"/>
      <c r="V125" s="51"/>
      <c r="W125" s="55"/>
      <c r="X125" s="1"/>
    </row>
    <row r="126" spans="3:24" ht="24.9" customHeight="1" thickBot="1" x14ac:dyDescent="0.35">
      <c r="C126" s="3"/>
      <c r="D126" s="4"/>
      <c r="E126" s="5"/>
      <c r="F126" s="3"/>
      <c r="G126" s="6"/>
      <c r="H126" s="12"/>
      <c r="I126" s="13"/>
      <c r="J126" s="13"/>
      <c r="K126" s="14"/>
      <c r="L126" s="18"/>
      <c r="M126" s="19"/>
      <c r="N126" s="32"/>
      <c r="O126" s="20"/>
      <c r="P126" s="46"/>
      <c r="Q126" s="47"/>
      <c r="R126" s="26"/>
      <c r="S126" s="51"/>
      <c r="T126" s="107"/>
      <c r="U126" s="108"/>
      <c r="V126" s="51"/>
      <c r="W126" s="55"/>
      <c r="X126" s="1"/>
    </row>
    <row r="127" spans="3:24" ht="24.9" customHeight="1" thickBot="1" x14ac:dyDescent="0.35">
      <c r="C127" s="3"/>
      <c r="D127" s="4"/>
      <c r="E127" s="5"/>
      <c r="F127" s="3"/>
      <c r="G127" s="6"/>
      <c r="H127" s="12"/>
      <c r="I127" s="13"/>
      <c r="J127" s="13"/>
      <c r="K127" s="14"/>
      <c r="L127" s="18"/>
      <c r="M127" s="19"/>
      <c r="N127" s="32"/>
      <c r="O127" s="20"/>
      <c r="P127" s="25"/>
      <c r="Q127" s="35"/>
      <c r="R127" s="26"/>
      <c r="S127" s="51"/>
      <c r="T127" s="107"/>
      <c r="U127" s="108"/>
      <c r="V127" s="51"/>
      <c r="W127" s="55"/>
      <c r="X127" s="1"/>
    </row>
    <row r="128" spans="3:24" ht="24.9" customHeight="1" thickBot="1" x14ac:dyDescent="0.35">
      <c r="C128" s="3"/>
      <c r="D128" s="4"/>
      <c r="E128" s="5"/>
      <c r="F128" s="3"/>
      <c r="G128" s="6"/>
      <c r="H128" s="12"/>
      <c r="I128" s="13"/>
      <c r="J128" s="13"/>
      <c r="K128" s="14"/>
      <c r="L128" s="18"/>
      <c r="M128" s="19"/>
      <c r="N128" s="32"/>
      <c r="O128" s="20"/>
      <c r="P128" s="46"/>
      <c r="Q128" s="47"/>
      <c r="R128" s="26"/>
      <c r="S128" s="51"/>
      <c r="T128" s="107"/>
      <c r="U128" s="108"/>
      <c r="V128" s="51"/>
      <c r="W128" s="55"/>
      <c r="X128" s="1"/>
    </row>
    <row r="129" spans="3:24" ht="24.9" customHeight="1" x14ac:dyDescent="0.3">
      <c r="C129" s="3"/>
      <c r="D129" s="4"/>
      <c r="E129" s="5"/>
      <c r="F129" s="3"/>
      <c r="G129" s="6"/>
      <c r="H129" s="12"/>
      <c r="I129" s="13"/>
      <c r="J129" s="13"/>
      <c r="K129" s="14"/>
      <c r="L129" s="18"/>
      <c r="M129" s="19"/>
      <c r="N129" s="32"/>
      <c r="O129" s="20"/>
      <c r="P129" s="46"/>
      <c r="Q129" s="47"/>
      <c r="R129" s="26"/>
      <c r="S129" s="51"/>
      <c r="T129" s="107"/>
      <c r="U129" s="108"/>
      <c r="V129" s="51"/>
      <c r="W129" s="55"/>
      <c r="X129" s="1"/>
    </row>
    <row r="130" spans="3:24" ht="24.9" customHeight="1" x14ac:dyDescent="0.3"/>
    <row r="131" spans="3:24" ht="24.9" customHeight="1" x14ac:dyDescent="0.3"/>
    <row r="132" spans="3:24" ht="24.9" customHeight="1" x14ac:dyDescent="0.3"/>
    <row r="133" spans="3:24" ht="24.9" customHeight="1" x14ac:dyDescent="0.3"/>
    <row r="134" spans="3:24" ht="24.9" customHeight="1" x14ac:dyDescent="0.3"/>
    <row r="135" spans="3:24" ht="24.9" customHeight="1" x14ac:dyDescent="0.3"/>
    <row r="136" spans="3:24" ht="24.9" customHeight="1" x14ac:dyDescent="0.3"/>
    <row r="137" spans="3:24" ht="24.9" customHeight="1" x14ac:dyDescent="0.3"/>
    <row r="138" spans="3:24" ht="24.9" customHeight="1" x14ac:dyDescent="0.3"/>
    <row r="139" spans="3:24" ht="24.9" customHeight="1" x14ac:dyDescent="0.3"/>
    <row r="140" spans="3:24" ht="24.9" customHeight="1" x14ac:dyDescent="0.3"/>
    <row r="141" spans="3:24" ht="24.9" customHeight="1" x14ac:dyDescent="0.3"/>
    <row r="142" spans="3:24" ht="24.9" customHeight="1" x14ac:dyDescent="0.3"/>
    <row r="143" spans="3:24" ht="24.9" customHeight="1" x14ac:dyDescent="0.3"/>
    <row r="144" spans="3:2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</sheetData>
  <mergeCells count="150">
    <mergeCell ref="C7:C8"/>
    <mergeCell ref="C16:C17"/>
    <mergeCell ref="C19:C20"/>
    <mergeCell ref="T4:U4"/>
    <mergeCell ref="T5:U5"/>
    <mergeCell ref="T6:U6"/>
    <mergeCell ref="T7:U7"/>
    <mergeCell ref="T8:U8"/>
    <mergeCell ref="T14:U14"/>
    <mergeCell ref="T15:U15"/>
    <mergeCell ref="T16:U16"/>
    <mergeCell ref="T17:U17"/>
    <mergeCell ref="T18:U18"/>
    <mergeCell ref="T9:U9"/>
    <mergeCell ref="T10:U10"/>
    <mergeCell ref="T11:U11"/>
    <mergeCell ref="T12:U12"/>
    <mergeCell ref="T13:U13"/>
    <mergeCell ref="H3:K3"/>
    <mergeCell ref="B2:X2"/>
    <mergeCell ref="B3:G3"/>
    <mergeCell ref="L3:O3"/>
    <mergeCell ref="P3:R3"/>
    <mergeCell ref="S3:V3"/>
    <mergeCell ref="B5:B6"/>
    <mergeCell ref="C5:C6"/>
    <mergeCell ref="D5:D6"/>
    <mergeCell ref="E5:E6"/>
    <mergeCell ref="F5:F6"/>
    <mergeCell ref="O5:O6"/>
    <mergeCell ref="X5:X6"/>
    <mergeCell ref="G5:G6"/>
    <mergeCell ref="I5:I6"/>
    <mergeCell ref="J5:J6"/>
    <mergeCell ref="K5:K6"/>
    <mergeCell ref="L5:L6"/>
    <mergeCell ref="M5:M6"/>
    <mergeCell ref="N5:N6"/>
    <mergeCell ref="H5:H6"/>
    <mergeCell ref="T24:U24"/>
    <mergeCell ref="T25:U25"/>
    <mergeCell ref="T26:U26"/>
    <mergeCell ref="T27:U27"/>
    <mergeCell ref="T28:U28"/>
    <mergeCell ref="T19:U19"/>
    <mergeCell ref="T20:U20"/>
    <mergeCell ref="T21:U21"/>
    <mergeCell ref="T22:U22"/>
    <mergeCell ref="T23:U23"/>
    <mergeCell ref="T34:U34"/>
    <mergeCell ref="T35:U35"/>
    <mergeCell ref="T36:U36"/>
    <mergeCell ref="T37:U37"/>
    <mergeCell ref="T38:U38"/>
    <mergeCell ref="T29:U29"/>
    <mergeCell ref="T30:U30"/>
    <mergeCell ref="T31:U31"/>
    <mergeCell ref="T32:U32"/>
    <mergeCell ref="T33:U33"/>
    <mergeCell ref="T44:U44"/>
    <mergeCell ref="T45:U45"/>
    <mergeCell ref="T46:U46"/>
    <mergeCell ref="T47:U47"/>
    <mergeCell ref="T48:U48"/>
    <mergeCell ref="T39:U39"/>
    <mergeCell ref="T40:U40"/>
    <mergeCell ref="T41:U41"/>
    <mergeCell ref="T42:U42"/>
    <mergeCell ref="T43:U43"/>
    <mergeCell ref="T54:U54"/>
    <mergeCell ref="T55:U55"/>
    <mergeCell ref="T56:U56"/>
    <mergeCell ref="T57:U57"/>
    <mergeCell ref="T58:U58"/>
    <mergeCell ref="T49:U49"/>
    <mergeCell ref="T50:U50"/>
    <mergeCell ref="T51:U51"/>
    <mergeCell ref="T52:U52"/>
    <mergeCell ref="T53:U53"/>
    <mergeCell ref="T64:U64"/>
    <mergeCell ref="T65:U65"/>
    <mergeCell ref="T66:U66"/>
    <mergeCell ref="T67:U67"/>
    <mergeCell ref="T68:U68"/>
    <mergeCell ref="T59:U59"/>
    <mergeCell ref="T60:U60"/>
    <mergeCell ref="T61:U61"/>
    <mergeCell ref="T62:U62"/>
    <mergeCell ref="T63:U63"/>
    <mergeCell ref="T74:U74"/>
    <mergeCell ref="T75:U75"/>
    <mergeCell ref="T76:U76"/>
    <mergeCell ref="T77:U77"/>
    <mergeCell ref="T78:U78"/>
    <mergeCell ref="T69:U69"/>
    <mergeCell ref="T70:U70"/>
    <mergeCell ref="T71:U71"/>
    <mergeCell ref="T72:U72"/>
    <mergeCell ref="T73:U73"/>
    <mergeCell ref="T84:U84"/>
    <mergeCell ref="T85:U85"/>
    <mergeCell ref="T86:U86"/>
    <mergeCell ref="T87:U87"/>
    <mergeCell ref="T88:U88"/>
    <mergeCell ref="T79:U79"/>
    <mergeCell ref="T80:U80"/>
    <mergeCell ref="T81:U81"/>
    <mergeCell ref="T82:U82"/>
    <mergeCell ref="T83:U83"/>
    <mergeCell ref="T94:U94"/>
    <mergeCell ref="T95:U95"/>
    <mergeCell ref="T96:U96"/>
    <mergeCell ref="T97:U97"/>
    <mergeCell ref="T98:U98"/>
    <mergeCell ref="T89:U89"/>
    <mergeCell ref="T90:U90"/>
    <mergeCell ref="T91:U91"/>
    <mergeCell ref="T92:U92"/>
    <mergeCell ref="T93:U93"/>
    <mergeCell ref="T104:U104"/>
    <mergeCell ref="T105:U105"/>
    <mergeCell ref="T106:U106"/>
    <mergeCell ref="T107:U107"/>
    <mergeCell ref="T108:U108"/>
    <mergeCell ref="T99:U99"/>
    <mergeCell ref="T100:U100"/>
    <mergeCell ref="T101:U101"/>
    <mergeCell ref="T102:U102"/>
    <mergeCell ref="T103:U103"/>
    <mergeCell ref="T114:U114"/>
    <mergeCell ref="T115:U115"/>
    <mergeCell ref="T116:U116"/>
    <mergeCell ref="T117:U117"/>
    <mergeCell ref="T118:U118"/>
    <mergeCell ref="T109:U109"/>
    <mergeCell ref="T110:U110"/>
    <mergeCell ref="T111:U111"/>
    <mergeCell ref="T112:U112"/>
    <mergeCell ref="T113:U113"/>
    <mergeCell ref="T129:U129"/>
    <mergeCell ref="T124:U124"/>
    <mergeCell ref="T125:U125"/>
    <mergeCell ref="T126:U126"/>
    <mergeCell ref="T127:U127"/>
    <mergeCell ref="T128:U128"/>
    <mergeCell ref="T119:U119"/>
    <mergeCell ref="T120:U120"/>
    <mergeCell ref="T121:U121"/>
    <mergeCell ref="T122:U122"/>
    <mergeCell ref="T123:U123"/>
  </mergeCells>
  <phoneticPr fontId="8" type="noConversion"/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1596-A000-4776-8A49-41FC2E9D38B8}">
  <dimension ref="A1:P114"/>
  <sheetViews>
    <sheetView tabSelected="1" workbookViewId="0">
      <pane ySplit="3" topLeftCell="A93" activePane="bottomLeft" state="frozen"/>
      <selection activeCell="F1" sqref="F1"/>
      <selection pane="bottomLeft" activeCell="F103" sqref="F103:F104"/>
    </sheetView>
  </sheetViews>
  <sheetFormatPr defaultRowHeight="14.4" x14ac:dyDescent="0.3"/>
  <cols>
    <col min="1" max="1" width="5.5546875" customWidth="1"/>
    <col min="2" max="2" width="10.109375" bestFit="1" customWidth="1"/>
    <col min="3" max="3" width="13.21875" customWidth="1"/>
    <col min="4" max="4" width="42.5546875" style="77" customWidth="1"/>
    <col min="5" max="5" width="25.77734375" customWidth="1"/>
    <col min="6" max="6" width="7.6640625" bestFit="1" customWidth="1"/>
    <col min="8" max="8" width="11.33203125" style="64" bestFit="1" customWidth="1"/>
    <col min="9" max="9" width="17.44140625" style="64" bestFit="1" customWidth="1"/>
    <col min="10" max="10" width="34" customWidth="1"/>
    <col min="11" max="11" width="6.21875" bestFit="1" customWidth="1"/>
    <col min="13" max="13" width="13.77734375" customWidth="1"/>
    <col min="14" max="14" width="11.6640625" customWidth="1"/>
    <col min="15" max="15" width="14" customWidth="1"/>
    <col min="16" max="16" width="13.44140625" customWidth="1"/>
  </cols>
  <sheetData>
    <row r="1" spans="2:16" ht="15" thickBot="1" x14ac:dyDescent="0.35"/>
    <row r="2" spans="2:16" ht="46.2" customHeight="1" thickBot="1" x14ac:dyDescent="0.35">
      <c r="B2" s="104" t="s">
        <v>15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6"/>
    </row>
    <row r="3" spans="2:16" s="59" customFormat="1" ht="37.200000000000003" customHeight="1" x14ac:dyDescent="0.3">
      <c r="B3" s="60" t="s">
        <v>1</v>
      </c>
      <c r="C3" s="60" t="s">
        <v>0</v>
      </c>
      <c r="D3" s="60" t="s">
        <v>190</v>
      </c>
      <c r="E3" s="60" t="s">
        <v>188</v>
      </c>
      <c r="F3" s="60" t="s">
        <v>18</v>
      </c>
      <c r="G3" s="60" t="s">
        <v>183</v>
      </c>
      <c r="H3" s="65" t="s">
        <v>192</v>
      </c>
      <c r="I3" s="65" t="s">
        <v>217</v>
      </c>
      <c r="J3" s="60" t="s">
        <v>191</v>
      </c>
      <c r="K3" s="60" t="s">
        <v>18</v>
      </c>
      <c r="L3" s="60" t="s">
        <v>183</v>
      </c>
      <c r="M3" s="60" t="s">
        <v>184</v>
      </c>
      <c r="N3" s="60" t="s">
        <v>16</v>
      </c>
      <c r="O3" s="60" t="s">
        <v>185</v>
      </c>
      <c r="P3" s="60" t="s">
        <v>186</v>
      </c>
    </row>
    <row r="4" spans="2:16" s="59" customFormat="1" ht="25.2" customHeight="1" x14ac:dyDescent="0.3">
      <c r="B4" s="62">
        <v>45967</v>
      </c>
      <c r="C4" s="61">
        <v>1</v>
      </c>
      <c r="D4" s="78" t="s">
        <v>201</v>
      </c>
      <c r="E4" s="61" t="s">
        <v>189</v>
      </c>
      <c r="F4" s="61" t="s">
        <v>187</v>
      </c>
      <c r="G4" s="61">
        <v>1</v>
      </c>
      <c r="H4" s="66"/>
      <c r="I4" s="66">
        <f t="shared" ref="I4:I27" si="0">+G4*H4</f>
        <v>0</v>
      </c>
      <c r="J4" s="61"/>
      <c r="K4" s="61"/>
      <c r="L4" s="61"/>
      <c r="M4" s="61"/>
      <c r="N4" s="61"/>
      <c r="O4" s="61"/>
      <c r="P4" s="61"/>
    </row>
    <row r="5" spans="2:16" s="59" customFormat="1" ht="28.8" customHeight="1" x14ac:dyDescent="0.3">
      <c r="B5" s="89">
        <v>45967</v>
      </c>
      <c r="C5" s="92">
        <v>2</v>
      </c>
      <c r="D5" s="95" t="s">
        <v>202</v>
      </c>
      <c r="E5" s="97" t="s">
        <v>198</v>
      </c>
      <c r="F5" s="92" t="s">
        <v>187</v>
      </c>
      <c r="G5" s="61">
        <v>2</v>
      </c>
      <c r="H5" s="74"/>
      <c r="I5" s="74">
        <f t="shared" si="0"/>
        <v>0</v>
      </c>
      <c r="J5" s="61" t="s">
        <v>7</v>
      </c>
      <c r="K5" s="61" t="s">
        <v>193</v>
      </c>
      <c r="L5" s="61">
        <v>70</v>
      </c>
      <c r="M5" s="61"/>
      <c r="N5" s="61"/>
      <c r="O5" s="61"/>
      <c r="P5" s="61"/>
    </row>
    <row r="6" spans="2:16" s="59" customFormat="1" ht="26.4" customHeight="1" x14ac:dyDescent="0.3">
      <c r="B6" s="91"/>
      <c r="C6" s="94"/>
      <c r="D6" s="96"/>
      <c r="E6" s="98"/>
      <c r="F6" s="94"/>
      <c r="G6" s="61">
        <v>1</v>
      </c>
      <c r="H6" s="73"/>
      <c r="I6" s="73">
        <f t="shared" si="0"/>
        <v>0</v>
      </c>
      <c r="J6" s="61" t="s">
        <v>8</v>
      </c>
      <c r="K6" s="61" t="s">
        <v>193</v>
      </c>
      <c r="L6" s="61">
        <v>15</v>
      </c>
      <c r="M6" s="61"/>
      <c r="N6" s="61"/>
      <c r="O6" s="61"/>
      <c r="P6" s="61"/>
    </row>
    <row r="7" spans="2:16" s="59" customFormat="1" ht="28.8" customHeight="1" x14ac:dyDescent="0.3">
      <c r="B7" s="89">
        <v>45969</v>
      </c>
      <c r="C7" s="92">
        <v>3</v>
      </c>
      <c r="D7" s="95" t="s">
        <v>203</v>
      </c>
      <c r="E7" s="97" t="s">
        <v>199</v>
      </c>
      <c r="F7" s="92" t="s">
        <v>187</v>
      </c>
      <c r="G7" s="61">
        <v>1</v>
      </c>
      <c r="H7" s="66"/>
      <c r="I7" s="66">
        <f t="shared" si="0"/>
        <v>0</v>
      </c>
      <c r="J7" s="92" t="s">
        <v>194</v>
      </c>
      <c r="K7" s="92" t="s">
        <v>195</v>
      </c>
      <c r="L7" s="92">
        <v>14.5</v>
      </c>
      <c r="M7" s="61"/>
      <c r="N7" s="61"/>
      <c r="O7" s="61"/>
      <c r="P7" s="61"/>
    </row>
    <row r="8" spans="2:16" s="59" customFormat="1" ht="28.8" customHeight="1" x14ac:dyDescent="0.3">
      <c r="B8" s="91"/>
      <c r="C8" s="94"/>
      <c r="D8" s="96"/>
      <c r="E8" s="98"/>
      <c r="F8" s="94"/>
      <c r="G8" s="61">
        <v>1</v>
      </c>
      <c r="H8" s="66"/>
      <c r="I8" s="66">
        <f t="shared" si="0"/>
        <v>0</v>
      </c>
      <c r="J8" s="94"/>
      <c r="K8" s="94"/>
      <c r="L8" s="94"/>
      <c r="M8" s="61"/>
      <c r="N8" s="61"/>
      <c r="O8" s="61"/>
      <c r="P8" s="61"/>
    </row>
    <row r="9" spans="2:16" s="59" customFormat="1" ht="28.8" customHeight="1" x14ac:dyDescent="0.3">
      <c r="B9" s="89">
        <v>45971</v>
      </c>
      <c r="C9" s="92">
        <v>4</v>
      </c>
      <c r="D9" s="95" t="s">
        <v>204</v>
      </c>
      <c r="E9" s="97" t="s">
        <v>199</v>
      </c>
      <c r="F9" s="92" t="s">
        <v>187</v>
      </c>
      <c r="G9" s="61">
        <v>1</v>
      </c>
      <c r="H9" s="66"/>
      <c r="I9" s="66">
        <f t="shared" si="0"/>
        <v>0</v>
      </c>
      <c r="J9" s="92" t="s">
        <v>194</v>
      </c>
      <c r="K9" s="92" t="s">
        <v>195</v>
      </c>
      <c r="L9" s="92">
        <v>9.1999999999999993</v>
      </c>
      <c r="M9" s="61"/>
      <c r="N9" s="61"/>
      <c r="O9" s="61"/>
      <c r="P9" s="61"/>
    </row>
    <row r="10" spans="2:16" s="59" customFormat="1" ht="28.8" customHeight="1" x14ac:dyDescent="0.3">
      <c r="B10" s="91"/>
      <c r="C10" s="94"/>
      <c r="D10" s="96"/>
      <c r="E10" s="98"/>
      <c r="F10" s="94"/>
      <c r="G10" s="61">
        <v>1</v>
      </c>
      <c r="H10" s="66"/>
      <c r="I10" s="66">
        <f t="shared" si="0"/>
        <v>0</v>
      </c>
      <c r="J10" s="94"/>
      <c r="K10" s="94"/>
      <c r="L10" s="94"/>
      <c r="M10" s="61"/>
      <c r="N10" s="61"/>
      <c r="O10" s="61"/>
      <c r="P10" s="61"/>
    </row>
    <row r="11" spans="2:16" s="59" customFormat="1" ht="28.8" customHeight="1" x14ac:dyDescent="0.3">
      <c r="B11" s="89">
        <v>45970</v>
      </c>
      <c r="C11" s="92">
        <v>5</v>
      </c>
      <c r="D11" s="95" t="s">
        <v>205</v>
      </c>
      <c r="E11" s="97" t="s">
        <v>199</v>
      </c>
      <c r="F11" s="92" t="s">
        <v>187</v>
      </c>
      <c r="G11" s="61">
        <v>1</v>
      </c>
      <c r="H11" s="66"/>
      <c r="I11" s="66">
        <f t="shared" si="0"/>
        <v>0</v>
      </c>
      <c r="J11" s="92"/>
      <c r="K11" s="92"/>
      <c r="L11" s="92"/>
      <c r="M11" s="61"/>
      <c r="N11" s="61"/>
      <c r="O11" s="61"/>
      <c r="P11" s="61"/>
    </row>
    <row r="12" spans="2:16" s="59" customFormat="1" ht="28.8" customHeight="1" x14ac:dyDescent="0.3">
      <c r="B12" s="91"/>
      <c r="C12" s="94"/>
      <c r="D12" s="96"/>
      <c r="E12" s="98"/>
      <c r="F12" s="94"/>
      <c r="G12" s="61">
        <v>1</v>
      </c>
      <c r="H12" s="66"/>
      <c r="I12" s="66">
        <f t="shared" si="0"/>
        <v>0</v>
      </c>
      <c r="J12" s="94"/>
      <c r="K12" s="94"/>
      <c r="L12" s="94"/>
      <c r="M12" s="61"/>
      <c r="N12" s="61"/>
      <c r="O12" s="61"/>
      <c r="P12" s="61"/>
    </row>
    <row r="13" spans="2:16" s="59" customFormat="1" ht="28.8" customHeight="1" x14ac:dyDescent="0.3">
      <c r="B13" s="89">
        <v>45970</v>
      </c>
      <c r="C13" s="92">
        <v>6</v>
      </c>
      <c r="D13" s="95" t="s">
        <v>206</v>
      </c>
      <c r="E13" s="97" t="s">
        <v>199</v>
      </c>
      <c r="F13" s="92" t="s">
        <v>187</v>
      </c>
      <c r="G13" s="61">
        <v>1</v>
      </c>
      <c r="H13" s="66"/>
      <c r="I13" s="66">
        <f t="shared" si="0"/>
        <v>0</v>
      </c>
      <c r="J13" s="92" t="s">
        <v>196</v>
      </c>
      <c r="K13" s="92" t="s">
        <v>195</v>
      </c>
      <c r="L13" s="92">
        <v>4.5</v>
      </c>
      <c r="M13" s="61"/>
      <c r="N13" s="61"/>
      <c r="O13" s="61"/>
      <c r="P13" s="61"/>
    </row>
    <row r="14" spans="2:16" s="59" customFormat="1" ht="28.8" customHeight="1" x14ac:dyDescent="0.3">
      <c r="B14" s="91"/>
      <c r="C14" s="94"/>
      <c r="D14" s="96"/>
      <c r="E14" s="98"/>
      <c r="F14" s="94"/>
      <c r="G14" s="61">
        <v>1</v>
      </c>
      <c r="H14" s="66"/>
      <c r="I14" s="66">
        <f t="shared" si="0"/>
        <v>0</v>
      </c>
      <c r="J14" s="94"/>
      <c r="K14" s="94"/>
      <c r="L14" s="94"/>
      <c r="M14" s="61"/>
      <c r="N14" s="61"/>
      <c r="O14" s="61"/>
      <c r="P14" s="61"/>
    </row>
    <row r="15" spans="2:16" s="59" customFormat="1" ht="28.8" customHeight="1" x14ac:dyDescent="0.3">
      <c r="B15" s="89">
        <v>45986</v>
      </c>
      <c r="C15" s="92">
        <v>7</v>
      </c>
      <c r="D15" s="95" t="s">
        <v>207</v>
      </c>
      <c r="E15" s="97" t="s">
        <v>199</v>
      </c>
      <c r="F15" s="92" t="s">
        <v>187</v>
      </c>
      <c r="G15" s="61">
        <v>1</v>
      </c>
      <c r="H15" s="66"/>
      <c r="I15" s="66">
        <f t="shared" si="0"/>
        <v>0</v>
      </c>
      <c r="J15" s="92" t="s">
        <v>8</v>
      </c>
      <c r="K15" s="92" t="s">
        <v>193</v>
      </c>
      <c r="L15" s="92">
        <v>19.2</v>
      </c>
      <c r="M15" s="61"/>
      <c r="N15" s="61"/>
      <c r="O15" s="61"/>
      <c r="P15" s="61"/>
    </row>
    <row r="16" spans="2:16" s="59" customFormat="1" ht="28.8" customHeight="1" x14ac:dyDescent="0.3">
      <c r="B16" s="91"/>
      <c r="C16" s="94"/>
      <c r="D16" s="96"/>
      <c r="E16" s="98"/>
      <c r="F16" s="94"/>
      <c r="G16" s="61">
        <v>1</v>
      </c>
      <c r="H16" s="66"/>
      <c r="I16" s="66">
        <f t="shared" si="0"/>
        <v>0</v>
      </c>
      <c r="J16" s="94"/>
      <c r="K16" s="94"/>
      <c r="L16" s="94"/>
      <c r="M16" s="61"/>
      <c r="N16" s="61"/>
      <c r="O16" s="61"/>
      <c r="P16" s="61"/>
    </row>
    <row r="17" spans="2:16" s="59" customFormat="1" ht="28.8" customHeight="1" x14ac:dyDescent="0.3">
      <c r="B17" s="89">
        <v>45986</v>
      </c>
      <c r="C17" s="92">
        <v>8</v>
      </c>
      <c r="D17" s="95" t="s">
        <v>208</v>
      </c>
      <c r="E17" s="97" t="s">
        <v>199</v>
      </c>
      <c r="F17" s="92" t="s">
        <v>187</v>
      </c>
      <c r="G17" s="61">
        <v>1</v>
      </c>
      <c r="H17" s="66"/>
      <c r="I17" s="66">
        <f t="shared" si="0"/>
        <v>0</v>
      </c>
      <c r="J17" s="92" t="s">
        <v>8</v>
      </c>
      <c r="K17" s="92" t="s">
        <v>193</v>
      </c>
      <c r="L17" s="92">
        <v>14.4</v>
      </c>
      <c r="M17" s="61"/>
      <c r="N17" s="61"/>
      <c r="O17" s="61"/>
      <c r="P17" s="61"/>
    </row>
    <row r="18" spans="2:16" s="59" customFormat="1" ht="28.8" customHeight="1" x14ac:dyDescent="0.3">
      <c r="B18" s="91"/>
      <c r="C18" s="94"/>
      <c r="D18" s="96"/>
      <c r="E18" s="98"/>
      <c r="F18" s="94"/>
      <c r="G18" s="61">
        <v>1</v>
      </c>
      <c r="H18" s="66"/>
      <c r="I18" s="66">
        <f t="shared" si="0"/>
        <v>0</v>
      </c>
      <c r="J18" s="94"/>
      <c r="K18" s="94"/>
      <c r="L18" s="94"/>
      <c r="M18" s="61"/>
      <c r="N18" s="61"/>
      <c r="O18" s="61"/>
      <c r="P18" s="61"/>
    </row>
    <row r="19" spans="2:16" s="59" customFormat="1" ht="28.8" customHeight="1" x14ac:dyDescent="0.3">
      <c r="B19" s="89">
        <v>45988</v>
      </c>
      <c r="C19" s="92">
        <v>9</v>
      </c>
      <c r="D19" s="95" t="s">
        <v>209</v>
      </c>
      <c r="E19" s="97" t="s">
        <v>199</v>
      </c>
      <c r="F19" s="92" t="s">
        <v>187</v>
      </c>
      <c r="G19" s="61">
        <v>1</v>
      </c>
      <c r="H19" s="66"/>
      <c r="I19" s="66">
        <f t="shared" si="0"/>
        <v>0</v>
      </c>
      <c r="J19" s="92" t="s">
        <v>196</v>
      </c>
      <c r="K19" s="92" t="s">
        <v>195</v>
      </c>
      <c r="L19" s="92">
        <v>4.68</v>
      </c>
      <c r="M19" s="61"/>
      <c r="N19" s="61"/>
      <c r="O19" s="61"/>
      <c r="P19" s="61"/>
    </row>
    <row r="20" spans="2:16" s="59" customFormat="1" ht="28.8" customHeight="1" x14ac:dyDescent="0.3">
      <c r="B20" s="91"/>
      <c r="C20" s="94"/>
      <c r="D20" s="96"/>
      <c r="E20" s="98"/>
      <c r="F20" s="94"/>
      <c r="G20" s="61">
        <v>1</v>
      </c>
      <c r="H20" s="66"/>
      <c r="I20" s="66">
        <f t="shared" si="0"/>
        <v>0</v>
      </c>
      <c r="J20" s="94"/>
      <c r="K20" s="94"/>
      <c r="L20" s="94"/>
      <c r="M20" s="61"/>
      <c r="N20" s="61"/>
      <c r="O20" s="61"/>
      <c r="P20" s="61"/>
    </row>
    <row r="21" spans="2:16" s="59" customFormat="1" ht="30" customHeight="1" x14ac:dyDescent="0.3">
      <c r="B21" s="89">
        <v>45989</v>
      </c>
      <c r="C21" s="92">
        <v>10</v>
      </c>
      <c r="D21" s="95" t="s">
        <v>210</v>
      </c>
      <c r="E21" s="97" t="s">
        <v>211</v>
      </c>
      <c r="F21" s="92" t="s">
        <v>187</v>
      </c>
      <c r="G21" s="61">
        <v>2</v>
      </c>
      <c r="H21" s="66"/>
      <c r="I21" s="66">
        <f t="shared" si="0"/>
        <v>0</v>
      </c>
      <c r="J21" s="61" t="s">
        <v>197</v>
      </c>
      <c r="K21" s="61" t="s">
        <v>195</v>
      </c>
      <c r="L21" s="61">
        <v>35.82</v>
      </c>
      <c r="M21" s="61"/>
      <c r="N21" s="61"/>
      <c r="O21" s="61"/>
      <c r="P21" s="61"/>
    </row>
    <row r="22" spans="2:16" s="59" customFormat="1" ht="19.95" customHeight="1" x14ac:dyDescent="0.3">
      <c r="B22" s="91"/>
      <c r="C22" s="94"/>
      <c r="D22" s="96"/>
      <c r="E22" s="94"/>
      <c r="F22" s="94"/>
      <c r="G22" s="69">
        <v>2</v>
      </c>
      <c r="H22" s="66"/>
      <c r="I22" s="66">
        <f t="shared" si="0"/>
        <v>0</v>
      </c>
      <c r="J22" s="61" t="s">
        <v>52</v>
      </c>
      <c r="K22" s="61" t="s">
        <v>193</v>
      </c>
      <c r="L22" s="61">
        <v>43.2</v>
      </c>
      <c r="M22" s="61"/>
      <c r="N22" s="61"/>
      <c r="O22" s="61"/>
      <c r="P22" s="61"/>
    </row>
    <row r="23" spans="2:16" s="59" customFormat="1" ht="30" customHeight="1" x14ac:dyDescent="0.3">
      <c r="B23" s="89">
        <v>46355</v>
      </c>
      <c r="C23" s="92">
        <f>+C21+1</f>
        <v>11</v>
      </c>
      <c r="D23" s="103" t="s">
        <v>200</v>
      </c>
      <c r="E23" s="97" t="s">
        <v>199</v>
      </c>
      <c r="F23" s="92" t="s">
        <v>187</v>
      </c>
      <c r="G23" s="61">
        <v>1</v>
      </c>
      <c r="H23" s="66"/>
      <c r="I23" s="66">
        <f t="shared" si="0"/>
        <v>0</v>
      </c>
      <c r="J23" s="92" t="s">
        <v>54</v>
      </c>
      <c r="K23" s="92" t="s">
        <v>195</v>
      </c>
      <c r="L23" s="92">
        <v>19.2</v>
      </c>
      <c r="M23" s="61"/>
      <c r="N23" s="61"/>
      <c r="O23" s="61"/>
      <c r="P23" s="61"/>
    </row>
    <row r="24" spans="2:16" s="59" customFormat="1" ht="27.6" customHeight="1" x14ac:dyDescent="0.3">
      <c r="B24" s="91"/>
      <c r="C24" s="94"/>
      <c r="D24" s="96"/>
      <c r="E24" s="94"/>
      <c r="F24" s="94"/>
      <c r="G24" s="61">
        <v>1</v>
      </c>
      <c r="H24" s="66"/>
      <c r="I24" s="66">
        <f t="shared" si="0"/>
        <v>0</v>
      </c>
      <c r="J24" s="94"/>
      <c r="K24" s="94"/>
      <c r="L24" s="94"/>
      <c r="M24" s="61"/>
      <c r="N24" s="61"/>
      <c r="O24" s="61"/>
      <c r="P24" s="61"/>
    </row>
    <row r="25" spans="2:16" s="59" customFormat="1" ht="30" customHeight="1" x14ac:dyDescent="0.3">
      <c r="B25" s="89">
        <v>45992</v>
      </c>
      <c r="C25" s="92">
        <v>12</v>
      </c>
      <c r="D25" s="95" t="s">
        <v>212</v>
      </c>
      <c r="E25" s="97" t="s">
        <v>199</v>
      </c>
      <c r="F25" s="92" t="s">
        <v>187</v>
      </c>
      <c r="G25" s="61">
        <v>1</v>
      </c>
      <c r="H25" s="66"/>
      <c r="I25" s="66">
        <f t="shared" si="0"/>
        <v>0</v>
      </c>
      <c r="J25" s="61" t="s">
        <v>52</v>
      </c>
      <c r="K25" s="61" t="s">
        <v>193</v>
      </c>
      <c r="L25" s="61">
        <v>2.6</v>
      </c>
      <c r="M25" s="61"/>
      <c r="N25" s="61"/>
      <c r="O25" s="61"/>
      <c r="P25" s="61"/>
    </row>
    <row r="26" spans="2:16" s="59" customFormat="1" ht="19.95" customHeight="1" x14ac:dyDescent="0.3">
      <c r="B26" s="91"/>
      <c r="C26" s="94"/>
      <c r="D26" s="96"/>
      <c r="E26" s="94"/>
      <c r="F26" s="94"/>
      <c r="G26" s="61">
        <v>1</v>
      </c>
      <c r="H26" s="66"/>
      <c r="I26" s="66">
        <f t="shared" si="0"/>
        <v>0</v>
      </c>
      <c r="J26" s="61" t="s">
        <v>7</v>
      </c>
      <c r="K26" s="61" t="s">
        <v>193</v>
      </c>
      <c r="L26" s="61">
        <v>9.6</v>
      </c>
      <c r="M26" s="61"/>
      <c r="N26" s="61"/>
      <c r="O26" s="61"/>
      <c r="P26" s="61"/>
    </row>
    <row r="27" spans="2:16" s="59" customFormat="1" ht="30" customHeight="1" x14ac:dyDescent="0.3">
      <c r="B27" s="70">
        <v>45993</v>
      </c>
      <c r="C27" s="68">
        <v>13</v>
      </c>
      <c r="D27" s="75" t="s">
        <v>213</v>
      </c>
      <c r="E27" s="68" t="s">
        <v>214</v>
      </c>
      <c r="F27" s="68" t="s">
        <v>187</v>
      </c>
      <c r="G27" s="61">
        <v>3</v>
      </c>
      <c r="H27" s="66"/>
      <c r="I27" s="66">
        <f t="shared" si="0"/>
        <v>0</v>
      </c>
      <c r="J27" s="61" t="s">
        <v>196</v>
      </c>
      <c r="K27" s="61" t="s">
        <v>195</v>
      </c>
      <c r="L27" s="61">
        <v>31.45</v>
      </c>
      <c r="M27" s="61"/>
      <c r="N27" s="61"/>
      <c r="O27" s="61"/>
      <c r="P27" s="61"/>
    </row>
    <row r="28" spans="2:16" s="59" customFormat="1" ht="19.95" customHeight="1" x14ac:dyDescent="0.3">
      <c r="B28" s="62">
        <v>45996</v>
      </c>
      <c r="C28" s="61">
        <v>14</v>
      </c>
      <c r="D28" s="78" t="s">
        <v>218</v>
      </c>
      <c r="E28" s="61" t="s">
        <v>215</v>
      </c>
      <c r="F28" s="61" t="s">
        <v>216</v>
      </c>
      <c r="G28" s="61">
        <v>2</v>
      </c>
      <c r="H28" s="66">
        <v>62500</v>
      </c>
      <c r="I28" s="66">
        <f>+H28*G28</f>
        <v>125000</v>
      </c>
      <c r="J28" s="61"/>
      <c r="K28" s="61"/>
      <c r="L28" s="61"/>
      <c r="M28" s="61"/>
      <c r="N28" s="61"/>
      <c r="O28" s="61"/>
      <c r="P28" s="61"/>
    </row>
    <row r="29" spans="2:16" s="59" customFormat="1" ht="19.95" customHeight="1" x14ac:dyDescent="0.3">
      <c r="B29" s="62">
        <v>45996</v>
      </c>
      <c r="C29" s="61">
        <v>15</v>
      </c>
      <c r="D29" s="78" t="s">
        <v>219</v>
      </c>
      <c r="E29" s="61" t="s">
        <v>215</v>
      </c>
      <c r="F29" s="61" t="s">
        <v>216</v>
      </c>
      <c r="G29" s="61">
        <v>1.26</v>
      </c>
      <c r="H29" s="66">
        <v>62500</v>
      </c>
      <c r="I29" s="66">
        <f>+H29*G29</f>
        <v>78750</v>
      </c>
      <c r="J29" s="61"/>
      <c r="K29" s="61"/>
      <c r="L29" s="61"/>
      <c r="M29" s="61"/>
      <c r="N29" s="61"/>
      <c r="O29" s="61"/>
      <c r="P29" s="61"/>
    </row>
    <row r="30" spans="2:16" s="59" customFormat="1" ht="20.399999999999999" x14ac:dyDescent="0.3">
      <c r="B30" s="62">
        <v>45996</v>
      </c>
      <c r="C30" s="61">
        <v>16</v>
      </c>
      <c r="D30" s="78" t="s">
        <v>220</v>
      </c>
      <c r="E30" s="61" t="s">
        <v>221</v>
      </c>
      <c r="F30" s="61" t="s">
        <v>216</v>
      </c>
      <c r="G30" s="61">
        <v>0.86660000000000004</v>
      </c>
      <c r="H30" s="66">
        <v>62500</v>
      </c>
      <c r="I30" s="66">
        <f>+H30*G30</f>
        <v>54162.5</v>
      </c>
      <c r="J30" s="61"/>
      <c r="K30" s="61"/>
      <c r="L30" s="61"/>
      <c r="M30" s="61"/>
      <c r="N30" s="61"/>
      <c r="O30" s="61"/>
      <c r="P30" s="61"/>
    </row>
    <row r="31" spans="2:16" s="59" customFormat="1" ht="15" customHeight="1" x14ac:dyDescent="0.3">
      <c r="B31" s="89">
        <v>46007</v>
      </c>
      <c r="C31" s="92">
        <v>17</v>
      </c>
      <c r="D31" s="95" t="s">
        <v>222</v>
      </c>
      <c r="E31" s="97" t="s">
        <v>198</v>
      </c>
      <c r="F31" s="92" t="s">
        <v>187</v>
      </c>
      <c r="G31" s="92">
        <v>2</v>
      </c>
      <c r="H31" s="101"/>
      <c r="I31" s="101">
        <f t="shared" ref="I31:I34" si="1">+G31*H31</f>
        <v>0</v>
      </c>
      <c r="J31" s="61" t="s">
        <v>7</v>
      </c>
      <c r="K31" s="61" t="s">
        <v>193</v>
      </c>
      <c r="L31" s="61">
        <v>2</v>
      </c>
      <c r="M31" s="61"/>
      <c r="N31" s="61"/>
      <c r="O31" s="61"/>
      <c r="P31" s="61"/>
    </row>
    <row r="32" spans="2:16" s="59" customFormat="1" ht="13.8" customHeight="1" x14ac:dyDescent="0.3">
      <c r="B32" s="90"/>
      <c r="C32" s="93"/>
      <c r="D32" s="100"/>
      <c r="E32" s="99"/>
      <c r="F32" s="93"/>
      <c r="G32" s="94"/>
      <c r="H32" s="102"/>
      <c r="I32" s="102">
        <f t="shared" si="1"/>
        <v>0</v>
      </c>
      <c r="J32" s="61" t="s">
        <v>52</v>
      </c>
      <c r="K32" s="61" t="s">
        <v>193</v>
      </c>
      <c r="L32" s="61">
        <v>9.6999999999999993</v>
      </c>
      <c r="M32" s="61"/>
      <c r="N32" s="61"/>
      <c r="O32" s="61"/>
      <c r="P32" s="61"/>
    </row>
    <row r="33" spans="1:16" s="59" customFormat="1" ht="13.8" customHeight="1" x14ac:dyDescent="0.3">
      <c r="B33" s="90"/>
      <c r="C33" s="93"/>
      <c r="D33" s="100"/>
      <c r="E33" s="99"/>
      <c r="F33" s="93"/>
      <c r="G33" s="92">
        <v>1</v>
      </c>
      <c r="H33" s="101"/>
      <c r="I33" s="101">
        <f t="shared" si="1"/>
        <v>0</v>
      </c>
      <c r="J33" s="61" t="s">
        <v>8</v>
      </c>
      <c r="K33" s="61" t="s">
        <v>193</v>
      </c>
      <c r="L33" s="61">
        <v>4.8499999999999996</v>
      </c>
      <c r="M33" s="61"/>
      <c r="N33" s="61"/>
      <c r="O33" s="61"/>
      <c r="P33" s="61"/>
    </row>
    <row r="34" spans="1:16" s="59" customFormat="1" ht="12.6" customHeight="1" x14ac:dyDescent="0.3">
      <c r="B34" s="91"/>
      <c r="C34" s="94"/>
      <c r="D34" s="96"/>
      <c r="E34" s="98"/>
      <c r="F34" s="94"/>
      <c r="G34" s="94"/>
      <c r="H34" s="102"/>
      <c r="I34" s="102">
        <f t="shared" si="1"/>
        <v>0</v>
      </c>
      <c r="J34" s="61" t="s">
        <v>197</v>
      </c>
      <c r="K34" s="61" t="s">
        <v>195</v>
      </c>
      <c r="L34" s="61">
        <v>6.5</v>
      </c>
      <c r="M34" s="61"/>
      <c r="N34" s="61"/>
      <c r="O34" s="61"/>
      <c r="P34" s="61"/>
    </row>
    <row r="35" spans="1:16" s="59" customFormat="1" ht="19.95" customHeight="1" x14ac:dyDescent="0.3">
      <c r="A35" s="59" t="s">
        <v>225</v>
      </c>
      <c r="B35" s="83">
        <v>46007</v>
      </c>
      <c r="C35" s="82">
        <v>18</v>
      </c>
      <c r="D35" s="84" t="s">
        <v>223</v>
      </c>
      <c r="E35" s="82" t="s">
        <v>224</v>
      </c>
      <c r="F35" s="82" t="s">
        <v>187</v>
      </c>
      <c r="G35" s="82">
        <v>2</v>
      </c>
      <c r="H35" s="85"/>
      <c r="I35" s="85"/>
      <c r="J35" s="82"/>
      <c r="K35" s="82"/>
      <c r="L35" s="82"/>
      <c r="M35" s="82"/>
      <c r="N35" s="82"/>
      <c r="O35" s="82"/>
      <c r="P35" s="82"/>
    </row>
    <row r="36" spans="1:16" s="59" customFormat="1" ht="22.2" customHeight="1" x14ac:dyDescent="0.3">
      <c r="B36" s="89">
        <v>46007</v>
      </c>
      <c r="C36" s="92">
        <v>19</v>
      </c>
      <c r="D36" s="95" t="s">
        <v>226</v>
      </c>
      <c r="E36" s="97" t="s">
        <v>227</v>
      </c>
      <c r="F36" s="92" t="s">
        <v>187</v>
      </c>
      <c r="G36" s="61">
        <v>3</v>
      </c>
      <c r="H36" s="66"/>
      <c r="I36" s="66">
        <f t="shared" ref="I36:I47" si="2">+G36*H36</f>
        <v>0</v>
      </c>
      <c r="J36" s="61" t="s">
        <v>7</v>
      </c>
      <c r="K36" s="61" t="s">
        <v>193</v>
      </c>
      <c r="L36" s="61">
        <v>121.5</v>
      </c>
      <c r="M36" s="61"/>
      <c r="N36" s="61"/>
      <c r="O36" s="61"/>
      <c r="P36" s="61"/>
    </row>
    <row r="37" spans="1:16" s="59" customFormat="1" ht="19.95" customHeight="1" x14ac:dyDescent="0.3">
      <c r="B37" s="91"/>
      <c r="C37" s="94"/>
      <c r="D37" s="96"/>
      <c r="E37" s="94"/>
      <c r="F37" s="94"/>
      <c r="G37" s="61">
        <v>2</v>
      </c>
      <c r="H37" s="66"/>
      <c r="I37" s="66">
        <f t="shared" si="2"/>
        <v>0</v>
      </c>
      <c r="J37" s="61" t="s">
        <v>197</v>
      </c>
      <c r="K37" s="61" t="s">
        <v>195</v>
      </c>
      <c r="L37" s="61">
        <v>200.64</v>
      </c>
      <c r="M37" s="61"/>
      <c r="N37" s="61"/>
      <c r="O37" s="61"/>
      <c r="P37" s="61"/>
    </row>
    <row r="38" spans="1:16" s="59" customFormat="1" ht="30" customHeight="1" x14ac:dyDescent="0.3">
      <c r="B38" s="62">
        <v>46008</v>
      </c>
      <c r="C38" s="61">
        <v>20</v>
      </c>
      <c r="D38" s="78" t="s">
        <v>228</v>
      </c>
      <c r="E38" s="68" t="s">
        <v>224</v>
      </c>
      <c r="F38" s="61" t="s">
        <v>187</v>
      </c>
      <c r="G38" s="61">
        <v>2</v>
      </c>
      <c r="H38" s="66"/>
      <c r="I38" s="66">
        <f t="shared" si="2"/>
        <v>0</v>
      </c>
      <c r="J38" s="61"/>
      <c r="K38" s="61"/>
      <c r="L38" s="61"/>
      <c r="M38" s="61"/>
      <c r="N38" s="61"/>
      <c r="O38" s="61"/>
      <c r="P38" s="61"/>
    </row>
    <row r="39" spans="1:16" s="59" customFormat="1" ht="22.2" customHeight="1" x14ac:dyDescent="0.3">
      <c r="B39" s="89">
        <v>46008</v>
      </c>
      <c r="C39" s="92">
        <v>21</v>
      </c>
      <c r="D39" s="95" t="s">
        <v>229</v>
      </c>
      <c r="E39" s="97" t="s">
        <v>199</v>
      </c>
      <c r="F39" s="92" t="s">
        <v>187</v>
      </c>
      <c r="G39" s="61">
        <v>1</v>
      </c>
      <c r="H39" s="66"/>
      <c r="I39" s="66">
        <f t="shared" si="2"/>
        <v>0</v>
      </c>
      <c r="J39" s="61"/>
      <c r="K39" s="61"/>
      <c r="L39" s="61"/>
      <c r="M39" s="61"/>
      <c r="N39" s="61"/>
      <c r="O39" s="61"/>
      <c r="P39" s="61"/>
    </row>
    <row r="40" spans="1:16" s="59" customFormat="1" ht="19.95" customHeight="1" x14ac:dyDescent="0.3">
      <c r="B40" s="91"/>
      <c r="C40" s="94"/>
      <c r="D40" s="96"/>
      <c r="E40" s="94"/>
      <c r="F40" s="94"/>
      <c r="G40" s="61">
        <v>1</v>
      </c>
      <c r="H40" s="66"/>
      <c r="I40" s="66">
        <f t="shared" si="2"/>
        <v>0</v>
      </c>
      <c r="J40" s="61"/>
      <c r="K40" s="61"/>
      <c r="L40" s="61"/>
      <c r="M40" s="61"/>
      <c r="N40" s="61"/>
      <c r="O40" s="61"/>
      <c r="P40" s="61"/>
    </row>
    <row r="41" spans="1:16" s="59" customFormat="1" ht="22.2" customHeight="1" x14ac:dyDescent="0.3">
      <c r="B41" s="89">
        <v>46008</v>
      </c>
      <c r="C41" s="92">
        <v>22</v>
      </c>
      <c r="D41" s="95" t="s">
        <v>230</v>
      </c>
      <c r="E41" s="97" t="s">
        <v>199</v>
      </c>
      <c r="F41" s="92" t="s">
        <v>187</v>
      </c>
      <c r="G41" s="61">
        <v>1</v>
      </c>
      <c r="H41" s="66"/>
      <c r="I41" s="66">
        <f t="shared" si="2"/>
        <v>0</v>
      </c>
      <c r="J41" s="61"/>
      <c r="K41" s="61"/>
      <c r="L41" s="61"/>
      <c r="M41" s="61"/>
      <c r="N41" s="61"/>
      <c r="O41" s="61"/>
      <c r="P41" s="61"/>
    </row>
    <row r="42" spans="1:16" s="59" customFormat="1" ht="19.95" customHeight="1" x14ac:dyDescent="0.3">
      <c r="B42" s="91"/>
      <c r="C42" s="94"/>
      <c r="D42" s="96"/>
      <c r="E42" s="94"/>
      <c r="F42" s="94"/>
      <c r="G42" s="61">
        <v>1</v>
      </c>
      <c r="H42" s="66"/>
      <c r="I42" s="66">
        <f t="shared" si="2"/>
        <v>0</v>
      </c>
      <c r="J42" s="61"/>
      <c r="K42" s="61"/>
      <c r="L42" s="61"/>
      <c r="M42" s="61"/>
      <c r="N42" s="61"/>
      <c r="O42" s="61"/>
      <c r="P42" s="61"/>
    </row>
    <row r="43" spans="1:16" s="59" customFormat="1" ht="30" customHeight="1" x14ac:dyDescent="0.3">
      <c r="B43" s="62">
        <v>46009</v>
      </c>
      <c r="C43" s="61">
        <v>23</v>
      </c>
      <c r="D43" s="78" t="s">
        <v>231</v>
      </c>
      <c r="E43" s="61" t="s">
        <v>224</v>
      </c>
      <c r="F43" s="61" t="s">
        <v>187</v>
      </c>
      <c r="G43" s="61">
        <v>2</v>
      </c>
      <c r="H43" s="66"/>
      <c r="I43" s="66">
        <f t="shared" si="2"/>
        <v>0</v>
      </c>
      <c r="J43" s="61"/>
      <c r="K43" s="61"/>
      <c r="L43" s="61"/>
      <c r="M43" s="61"/>
      <c r="N43" s="61"/>
      <c r="O43" s="61"/>
      <c r="P43" s="61"/>
    </row>
    <row r="44" spans="1:16" s="59" customFormat="1" ht="22.2" customHeight="1" x14ac:dyDescent="0.3">
      <c r="B44" s="89">
        <v>46009</v>
      </c>
      <c r="C44" s="92">
        <v>24</v>
      </c>
      <c r="D44" s="95" t="s">
        <v>232</v>
      </c>
      <c r="E44" s="97" t="s">
        <v>199</v>
      </c>
      <c r="F44" s="92" t="s">
        <v>187</v>
      </c>
      <c r="G44" s="61">
        <v>1</v>
      </c>
      <c r="H44" s="66"/>
      <c r="I44" s="66">
        <f t="shared" si="2"/>
        <v>0</v>
      </c>
      <c r="J44" s="61" t="s">
        <v>7</v>
      </c>
      <c r="K44" s="61" t="s">
        <v>193</v>
      </c>
      <c r="L44" s="61">
        <v>1.5</v>
      </c>
      <c r="M44" s="61"/>
      <c r="N44" s="61"/>
      <c r="O44" s="61"/>
      <c r="P44" s="61"/>
    </row>
    <row r="45" spans="1:16" s="59" customFormat="1" ht="19.95" customHeight="1" x14ac:dyDescent="0.3">
      <c r="B45" s="91"/>
      <c r="C45" s="94"/>
      <c r="D45" s="96"/>
      <c r="E45" s="94"/>
      <c r="F45" s="94"/>
      <c r="G45" s="61">
        <v>1</v>
      </c>
      <c r="H45" s="66"/>
      <c r="I45" s="66">
        <f t="shared" si="2"/>
        <v>0</v>
      </c>
      <c r="J45" s="61" t="s">
        <v>52</v>
      </c>
      <c r="K45" s="61" t="s">
        <v>193</v>
      </c>
      <c r="L45" s="61">
        <v>18.95</v>
      </c>
      <c r="M45" s="61"/>
      <c r="N45" s="61"/>
      <c r="O45" s="61"/>
      <c r="P45" s="61"/>
    </row>
    <row r="46" spans="1:16" s="59" customFormat="1" ht="22.2" customHeight="1" x14ac:dyDescent="0.3">
      <c r="B46" s="89">
        <v>46010</v>
      </c>
      <c r="C46" s="92">
        <v>25</v>
      </c>
      <c r="D46" s="95" t="s">
        <v>233</v>
      </c>
      <c r="E46" s="97" t="s">
        <v>199</v>
      </c>
      <c r="F46" s="92" t="s">
        <v>187</v>
      </c>
      <c r="G46" s="61">
        <v>1</v>
      </c>
      <c r="H46" s="66"/>
      <c r="I46" s="66">
        <f t="shared" si="2"/>
        <v>0</v>
      </c>
      <c r="J46" s="61" t="s">
        <v>7</v>
      </c>
      <c r="K46" s="61" t="s">
        <v>193</v>
      </c>
      <c r="L46" s="61">
        <v>0.5</v>
      </c>
      <c r="M46" s="61"/>
      <c r="N46" s="61"/>
      <c r="O46" s="61"/>
      <c r="P46" s="61"/>
    </row>
    <row r="47" spans="1:16" s="59" customFormat="1" ht="19.95" customHeight="1" x14ac:dyDescent="0.3">
      <c r="B47" s="91"/>
      <c r="C47" s="94"/>
      <c r="D47" s="96"/>
      <c r="E47" s="94"/>
      <c r="F47" s="94"/>
      <c r="G47" s="61">
        <v>1</v>
      </c>
      <c r="H47" s="66"/>
      <c r="I47" s="66">
        <f t="shared" si="2"/>
        <v>0</v>
      </c>
      <c r="J47" s="61" t="s">
        <v>52</v>
      </c>
      <c r="K47" s="61" t="s">
        <v>193</v>
      </c>
      <c r="L47" s="61">
        <v>9.6999999999999993</v>
      </c>
      <c r="M47" s="61"/>
      <c r="N47" s="61"/>
      <c r="O47" s="61"/>
      <c r="P47" s="61"/>
    </row>
    <row r="48" spans="1:16" s="59" customFormat="1" ht="31.2" customHeight="1" x14ac:dyDescent="0.3">
      <c r="A48" s="59" t="s">
        <v>225</v>
      </c>
      <c r="B48" s="87">
        <v>46010</v>
      </c>
      <c r="C48" s="86">
        <v>26</v>
      </c>
      <c r="D48" s="88" t="s">
        <v>234</v>
      </c>
      <c r="E48" s="82" t="s">
        <v>189</v>
      </c>
      <c r="F48" s="86" t="s">
        <v>187</v>
      </c>
      <c r="G48" s="82">
        <v>1</v>
      </c>
      <c r="H48" s="85"/>
      <c r="I48" s="85"/>
      <c r="J48" s="82"/>
      <c r="K48" s="82"/>
      <c r="L48" s="82"/>
      <c r="M48" s="82"/>
      <c r="N48" s="82"/>
      <c r="O48" s="82"/>
      <c r="P48" s="82"/>
    </row>
    <row r="49" spans="2:16" s="59" customFormat="1" ht="22.2" customHeight="1" x14ac:dyDescent="0.3">
      <c r="B49" s="89">
        <v>46016</v>
      </c>
      <c r="C49" s="92">
        <v>27</v>
      </c>
      <c r="D49" s="95" t="s">
        <v>235</v>
      </c>
      <c r="E49" s="97" t="s">
        <v>199</v>
      </c>
      <c r="F49" s="92" t="s">
        <v>187</v>
      </c>
      <c r="G49" s="61">
        <v>1</v>
      </c>
      <c r="H49" s="66"/>
      <c r="I49" s="66">
        <f t="shared" ref="I49:I81" si="3">+G49*H49</f>
        <v>0</v>
      </c>
      <c r="J49" s="61"/>
      <c r="K49" s="61"/>
      <c r="L49" s="61"/>
      <c r="M49" s="61"/>
      <c r="N49" s="61"/>
      <c r="O49" s="61"/>
      <c r="P49" s="61"/>
    </row>
    <row r="50" spans="2:16" s="59" customFormat="1" ht="19.95" customHeight="1" x14ac:dyDescent="0.3">
      <c r="B50" s="91"/>
      <c r="C50" s="94"/>
      <c r="D50" s="96"/>
      <c r="E50" s="94"/>
      <c r="F50" s="94"/>
      <c r="G50" s="61">
        <v>1</v>
      </c>
      <c r="H50" s="66"/>
      <c r="I50" s="66">
        <f t="shared" si="3"/>
        <v>0</v>
      </c>
      <c r="J50" s="61"/>
      <c r="K50" s="61"/>
      <c r="L50" s="61"/>
      <c r="M50" s="61"/>
      <c r="N50" s="61"/>
      <c r="O50" s="61"/>
      <c r="P50" s="61"/>
    </row>
    <row r="51" spans="2:16" s="59" customFormat="1" ht="22.2" customHeight="1" x14ac:dyDescent="0.3">
      <c r="B51" s="89">
        <v>46016</v>
      </c>
      <c r="C51" s="92">
        <v>28</v>
      </c>
      <c r="D51" s="95" t="s">
        <v>236</v>
      </c>
      <c r="E51" s="97" t="s">
        <v>198</v>
      </c>
      <c r="F51" s="92" t="s">
        <v>187</v>
      </c>
      <c r="G51" s="61">
        <v>2</v>
      </c>
      <c r="H51" s="66"/>
      <c r="I51" s="66">
        <f t="shared" si="3"/>
        <v>0</v>
      </c>
      <c r="J51" s="61" t="s">
        <v>196</v>
      </c>
      <c r="K51" s="61" t="s">
        <v>195</v>
      </c>
      <c r="L51" s="61">
        <v>2</v>
      </c>
      <c r="M51" s="61"/>
      <c r="N51" s="61"/>
      <c r="O51" s="61"/>
      <c r="P51" s="61"/>
    </row>
    <row r="52" spans="2:16" s="59" customFormat="1" ht="19.95" customHeight="1" x14ac:dyDescent="0.3">
      <c r="B52" s="91"/>
      <c r="C52" s="94"/>
      <c r="D52" s="96"/>
      <c r="E52" s="94"/>
      <c r="F52" s="94"/>
      <c r="G52" s="61">
        <v>1</v>
      </c>
      <c r="H52" s="66"/>
      <c r="I52" s="66">
        <f t="shared" si="3"/>
        <v>0</v>
      </c>
      <c r="J52" s="61" t="s">
        <v>197</v>
      </c>
      <c r="K52" s="61" t="s">
        <v>195</v>
      </c>
      <c r="L52" s="61">
        <v>14.5</v>
      </c>
      <c r="M52" s="61"/>
      <c r="N52" s="61"/>
      <c r="O52" s="61"/>
      <c r="P52" s="61"/>
    </row>
    <row r="53" spans="2:16" s="59" customFormat="1" ht="22.2" customHeight="1" x14ac:dyDescent="0.3">
      <c r="B53" s="89">
        <v>46016</v>
      </c>
      <c r="C53" s="92">
        <v>29</v>
      </c>
      <c r="D53" s="95" t="s">
        <v>237</v>
      </c>
      <c r="E53" s="97"/>
      <c r="F53" s="92"/>
      <c r="G53" s="61"/>
      <c r="H53" s="66"/>
      <c r="I53" s="66">
        <f t="shared" si="3"/>
        <v>0</v>
      </c>
      <c r="J53" s="61" t="s">
        <v>8</v>
      </c>
      <c r="K53" s="61" t="s">
        <v>193</v>
      </c>
      <c r="L53" s="61">
        <v>60</v>
      </c>
      <c r="M53" s="61"/>
      <c r="N53" s="61"/>
      <c r="O53" s="61"/>
      <c r="P53" s="61"/>
    </row>
    <row r="54" spans="2:16" s="59" customFormat="1" ht="19.95" customHeight="1" x14ac:dyDescent="0.3">
      <c r="B54" s="91"/>
      <c r="C54" s="94"/>
      <c r="D54" s="96"/>
      <c r="E54" s="94"/>
      <c r="F54" s="94"/>
      <c r="G54" s="61"/>
      <c r="H54" s="66"/>
      <c r="I54" s="66">
        <f t="shared" si="3"/>
        <v>0</v>
      </c>
      <c r="J54" s="61" t="s">
        <v>54</v>
      </c>
      <c r="K54" s="61" t="s">
        <v>193</v>
      </c>
      <c r="L54" s="61">
        <v>30</v>
      </c>
      <c r="M54" s="61"/>
      <c r="N54" s="61"/>
      <c r="O54" s="61"/>
      <c r="P54" s="61"/>
    </row>
    <row r="55" spans="2:16" s="59" customFormat="1" ht="22.2" customHeight="1" x14ac:dyDescent="0.3">
      <c r="B55" s="89">
        <v>46017</v>
      </c>
      <c r="C55" s="92">
        <v>30</v>
      </c>
      <c r="D55" s="95" t="s">
        <v>238</v>
      </c>
      <c r="E55" s="97" t="s">
        <v>199</v>
      </c>
      <c r="F55" s="92" t="s">
        <v>187</v>
      </c>
      <c r="G55" s="61">
        <v>1</v>
      </c>
      <c r="H55" s="66"/>
      <c r="I55" s="66">
        <f t="shared" si="3"/>
        <v>0</v>
      </c>
      <c r="J55" s="61" t="s">
        <v>239</v>
      </c>
      <c r="K55" s="61"/>
      <c r="L55" s="61"/>
      <c r="M55" s="61"/>
      <c r="N55" s="61"/>
      <c r="O55" s="61"/>
      <c r="P55" s="61"/>
    </row>
    <row r="56" spans="2:16" s="59" customFormat="1" ht="19.95" customHeight="1" x14ac:dyDescent="0.3">
      <c r="B56" s="91"/>
      <c r="C56" s="94"/>
      <c r="D56" s="96"/>
      <c r="E56" s="94"/>
      <c r="F56" s="94"/>
      <c r="G56" s="61">
        <v>1</v>
      </c>
      <c r="H56" s="66"/>
      <c r="I56" s="66">
        <f t="shared" si="3"/>
        <v>0</v>
      </c>
      <c r="J56" s="61"/>
      <c r="K56" s="61"/>
      <c r="L56" s="61"/>
      <c r="M56" s="61"/>
      <c r="N56" s="61"/>
      <c r="O56" s="61"/>
      <c r="P56" s="61"/>
    </row>
    <row r="57" spans="2:16" s="59" customFormat="1" ht="22.2" customHeight="1" x14ac:dyDescent="0.3">
      <c r="B57" s="89">
        <v>46017</v>
      </c>
      <c r="C57" s="92">
        <v>31</v>
      </c>
      <c r="D57" s="95" t="s">
        <v>240</v>
      </c>
      <c r="E57" s="97" t="s">
        <v>211</v>
      </c>
      <c r="F57" s="92" t="s">
        <v>187</v>
      </c>
      <c r="G57" s="92">
        <v>2</v>
      </c>
      <c r="H57" s="66"/>
      <c r="I57" s="66">
        <f t="shared" si="3"/>
        <v>0</v>
      </c>
      <c r="J57" s="61" t="s">
        <v>239</v>
      </c>
      <c r="K57" s="61" t="s">
        <v>193</v>
      </c>
      <c r="L57" s="61">
        <v>19.3</v>
      </c>
      <c r="M57" s="61"/>
      <c r="N57" s="61"/>
      <c r="O57" s="61"/>
      <c r="P57" s="61"/>
    </row>
    <row r="58" spans="2:16" s="59" customFormat="1" ht="19.95" customHeight="1" x14ac:dyDescent="0.3">
      <c r="B58" s="90"/>
      <c r="C58" s="93"/>
      <c r="D58" s="100"/>
      <c r="E58" s="99"/>
      <c r="F58" s="93"/>
      <c r="G58" s="94"/>
      <c r="H58" s="66"/>
      <c r="I58" s="66">
        <f t="shared" si="3"/>
        <v>0</v>
      </c>
      <c r="J58" s="61" t="s">
        <v>241</v>
      </c>
      <c r="K58" s="61" t="s">
        <v>193</v>
      </c>
      <c r="L58" s="61">
        <v>5.2</v>
      </c>
      <c r="M58" s="61"/>
      <c r="N58" s="61"/>
      <c r="O58" s="61"/>
      <c r="P58" s="61"/>
    </row>
    <row r="59" spans="2:16" s="59" customFormat="1" ht="19.95" customHeight="1" x14ac:dyDescent="0.3">
      <c r="B59" s="91"/>
      <c r="C59" s="94"/>
      <c r="D59" s="96"/>
      <c r="E59" s="98"/>
      <c r="F59" s="94"/>
      <c r="G59" s="61">
        <v>2</v>
      </c>
      <c r="H59" s="66"/>
      <c r="I59" s="66">
        <f t="shared" si="3"/>
        <v>0</v>
      </c>
      <c r="J59" s="61" t="s">
        <v>242</v>
      </c>
      <c r="K59" s="61" t="s">
        <v>193</v>
      </c>
      <c r="L59" s="61">
        <v>9.8000000000000007</v>
      </c>
      <c r="M59" s="61"/>
      <c r="N59" s="61"/>
      <c r="O59" s="61"/>
      <c r="P59" s="61"/>
    </row>
    <row r="60" spans="2:16" s="59" customFormat="1" ht="22.2" customHeight="1" x14ac:dyDescent="0.3">
      <c r="B60" s="89">
        <v>46017</v>
      </c>
      <c r="C60" s="92">
        <v>32</v>
      </c>
      <c r="D60" s="95" t="s">
        <v>243</v>
      </c>
      <c r="E60" s="97" t="s">
        <v>244</v>
      </c>
      <c r="F60" s="92" t="s">
        <v>187</v>
      </c>
      <c r="G60" s="92">
        <v>8</v>
      </c>
      <c r="H60" s="66"/>
      <c r="I60" s="66">
        <f t="shared" si="3"/>
        <v>0</v>
      </c>
      <c r="J60" s="61" t="s">
        <v>194</v>
      </c>
      <c r="K60" s="61" t="s">
        <v>195</v>
      </c>
      <c r="L60" s="61">
        <v>8</v>
      </c>
      <c r="M60" s="61"/>
      <c r="N60" s="61"/>
      <c r="O60" s="61"/>
      <c r="P60" s="61"/>
    </row>
    <row r="61" spans="2:16" s="59" customFormat="1" ht="19.95" customHeight="1" x14ac:dyDescent="0.3">
      <c r="B61" s="91"/>
      <c r="C61" s="94"/>
      <c r="D61" s="96"/>
      <c r="E61" s="94"/>
      <c r="F61" s="94"/>
      <c r="G61" s="94"/>
      <c r="H61" s="66"/>
      <c r="I61" s="66">
        <f t="shared" si="3"/>
        <v>0</v>
      </c>
      <c r="J61" s="61" t="s">
        <v>245</v>
      </c>
      <c r="K61" s="61" t="s">
        <v>246</v>
      </c>
      <c r="L61" s="61">
        <v>0.4</v>
      </c>
      <c r="M61" s="61"/>
      <c r="N61" s="61"/>
      <c r="O61" s="61"/>
      <c r="P61" s="61"/>
    </row>
    <row r="62" spans="2:16" s="59" customFormat="1" ht="36" customHeight="1" x14ac:dyDescent="0.3">
      <c r="B62" s="81">
        <v>46383</v>
      </c>
      <c r="C62" s="80">
        <v>33</v>
      </c>
      <c r="D62" s="79" t="s">
        <v>247</v>
      </c>
      <c r="E62" s="80" t="s">
        <v>214</v>
      </c>
      <c r="F62" s="80" t="s">
        <v>187</v>
      </c>
      <c r="G62" s="69">
        <v>3</v>
      </c>
      <c r="H62" s="66"/>
      <c r="I62" s="66">
        <f t="shared" si="3"/>
        <v>0</v>
      </c>
      <c r="J62" s="61" t="s">
        <v>239</v>
      </c>
      <c r="K62" s="61" t="s">
        <v>193</v>
      </c>
      <c r="L62" s="61">
        <v>13</v>
      </c>
      <c r="M62" s="61"/>
      <c r="N62" s="61"/>
      <c r="O62" s="61"/>
      <c r="P62" s="61"/>
    </row>
    <row r="63" spans="2:16" s="59" customFormat="1" ht="22.2" customHeight="1" x14ac:dyDescent="0.3">
      <c r="B63" s="89">
        <v>46383</v>
      </c>
      <c r="C63" s="92">
        <v>34</v>
      </c>
      <c r="D63" s="95" t="s">
        <v>248</v>
      </c>
      <c r="E63" s="97" t="s">
        <v>249</v>
      </c>
      <c r="F63" s="92" t="s">
        <v>187</v>
      </c>
      <c r="G63" s="61">
        <v>3</v>
      </c>
      <c r="H63" s="66"/>
      <c r="I63" s="66">
        <f t="shared" si="3"/>
        <v>0</v>
      </c>
      <c r="J63" s="61" t="s">
        <v>197</v>
      </c>
      <c r="K63" s="61" t="s">
        <v>195</v>
      </c>
      <c r="L63" s="61">
        <v>35</v>
      </c>
      <c r="M63" s="61"/>
      <c r="N63" s="61"/>
      <c r="O63" s="61"/>
      <c r="P63" s="61"/>
    </row>
    <row r="64" spans="2:16" s="59" customFormat="1" ht="19.95" customHeight="1" x14ac:dyDescent="0.3">
      <c r="B64" s="91"/>
      <c r="C64" s="94"/>
      <c r="D64" s="96"/>
      <c r="E64" s="94"/>
      <c r="F64" s="94"/>
      <c r="G64" s="61">
        <v>2</v>
      </c>
      <c r="H64" s="66"/>
      <c r="I64" s="66">
        <f t="shared" si="3"/>
        <v>0</v>
      </c>
      <c r="J64" s="61"/>
      <c r="K64" s="61"/>
      <c r="L64" s="61"/>
      <c r="M64" s="61"/>
      <c r="N64" s="61"/>
      <c r="O64" s="61"/>
      <c r="P64" s="61"/>
    </row>
    <row r="65" spans="2:16" s="59" customFormat="1" ht="22.2" customHeight="1" x14ac:dyDescent="0.3">
      <c r="B65" s="89">
        <v>46384</v>
      </c>
      <c r="C65" s="92">
        <v>35</v>
      </c>
      <c r="D65" s="95" t="s">
        <v>250</v>
      </c>
      <c r="E65" s="97" t="s">
        <v>211</v>
      </c>
      <c r="F65" s="92" t="s">
        <v>187</v>
      </c>
      <c r="G65" s="61">
        <v>2</v>
      </c>
      <c r="H65" s="66"/>
      <c r="I65" s="66">
        <f t="shared" si="3"/>
        <v>0</v>
      </c>
      <c r="J65" s="63" t="s">
        <v>197</v>
      </c>
      <c r="K65" s="61" t="s">
        <v>195</v>
      </c>
      <c r="L65" s="61">
        <v>18</v>
      </c>
      <c r="M65" s="61"/>
      <c r="N65" s="61"/>
      <c r="O65" s="61"/>
      <c r="P65" s="61"/>
    </row>
    <row r="66" spans="2:16" s="59" customFormat="1" ht="19.95" customHeight="1" x14ac:dyDescent="0.3">
      <c r="B66" s="91"/>
      <c r="C66" s="94"/>
      <c r="D66" s="96"/>
      <c r="E66" s="94"/>
      <c r="F66" s="94"/>
      <c r="G66" s="61">
        <v>2</v>
      </c>
      <c r="H66" s="66"/>
      <c r="I66" s="66">
        <f t="shared" si="3"/>
        <v>0</v>
      </c>
      <c r="J66" s="61"/>
      <c r="K66" s="61"/>
      <c r="L66" s="61"/>
      <c r="M66" s="61"/>
      <c r="N66" s="61"/>
      <c r="O66" s="61"/>
      <c r="P66" s="61"/>
    </row>
    <row r="67" spans="2:16" s="59" customFormat="1" ht="22.2" customHeight="1" x14ac:dyDescent="0.3">
      <c r="B67" s="89">
        <v>46384</v>
      </c>
      <c r="C67" s="92">
        <v>36</v>
      </c>
      <c r="D67" s="95" t="s">
        <v>252</v>
      </c>
      <c r="E67" s="97" t="s">
        <v>249</v>
      </c>
      <c r="F67" s="92" t="s">
        <v>187</v>
      </c>
      <c r="G67" s="61">
        <v>3</v>
      </c>
      <c r="H67" s="66"/>
      <c r="I67" s="66">
        <f t="shared" si="3"/>
        <v>0</v>
      </c>
      <c r="J67" s="63" t="s">
        <v>197</v>
      </c>
      <c r="K67" s="61" t="s">
        <v>195</v>
      </c>
      <c r="L67" s="61">
        <v>26</v>
      </c>
      <c r="M67" s="61"/>
      <c r="N67" s="61"/>
      <c r="O67" s="61"/>
      <c r="P67" s="61"/>
    </row>
    <row r="68" spans="2:16" s="59" customFormat="1" ht="19.95" customHeight="1" x14ac:dyDescent="0.3">
      <c r="B68" s="91"/>
      <c r="C68" s="94"/>
      <c r="D68" s="96"/>
      <c r="E68" s="94"/>
      <c r="F68" s="94"/>
      <c r="G68" s="61">
        <v>2</v>
      </c>
      <c r="H68" s="66"/>
      <c r="I68" s="66">
        <f t="shared" si="3"/>
        <v>0</v>
      </c>
      <c r="J68" s="61"/>
      <c r="K68" s="61"/>
      <c r="L68" s="61"/>
      <c r="M68" s="61"/>
      <c r="N68" s="61"/>
      <c r="O68" s="61"/>
      <c r="P68" s="61"/>
    </row>
    <row r="69" spans="2:16" s="59" customFormat="1" ht="40.799999999999997" customHeight="1" x14ac:dyDescent="0.3">
      <c r="B69" s="81">
        <v>46094</v>
      </c>
      <c r="C69" s="80">
        <v>37</v>
      </c>
      <c r="D69" s="79" t="s">
        <v>264</v>
      </c>
      <c r="E69" s="80" t="s">
        <v>253</v>
      </c>
      <c r="F69" s="80" t="s">
        <v>187</v>
      </c>
      <c r="G69" s="61">
        <v>7</v>
      </c>
      <c r="H69" s="66"/>
      <c r="I69" s="66">
        <f t="shared" si="3"/>
        <v>0</v>
      </c>
      <c r="J69" s="61"/>
      <c r="K69" s="61"/>
      <c r="L69" s="61"/>
      <c r="M69" s="61"/>
      <c r="N69" s="61"/>
      <c r="O69" s="61"/>
      <c r="P69" s="61"/>
    </row>
    <row r="70" spans="2:16" s="59" customFormat="1" ht="22.2" customHeight="1" x14ac:dyDescent="0.3">
      <c r="B70" s="89">
        <v>46094</v>
      </c>
      <c r="C70" s="92">
        <v>38</v>
      </c>
      <c r="D70" s="95" t="s">
        <v>263</v>
      </c>
      <c r="E70" s="97" t="s">
        <v>254</v>
      </c>
      <c r="F70" s="92" t="s">
        <v>187</v>
      </c>
      <c r="G70" s="61">
        <v>7</v>
      </c>
      <c r="H70" s="66"/>
      <c r="I70" s="66">
        <f t="shared" si="3"/>
        <v>0</v>
      </c>
      <c r="J70" s="61"/>
      <c r="K70" s="61"/>
      <c r="L70" s="61"/>
      <c r="M70" s="61"/>
      <c r="N70" s="61"/>
      <c r="O70" s="61"/>
      <c r="P70" s="61"/>
    </row>
    <row r="71" spans="2:16" s="59" customFormat="1" ht="19.95" customHeight="1" x14ac:dyDescent="0.3">
      <c r="B71" s="91"/>
      <c r="C71" s="94"/>
      <c r="D71" s="96"/>
      <c r="E71" s="94"/>
      <c r="F71" s="94"/>
      <c r="G71" s="61">
        <v>19</v>
      </c>
      <c r="H71" s="66"/>
      <c r="I71" s="66">
        <f t="shared" si="3"/>
        <v>0</v>
      </c>
      <c r="J71" s="61"/>
      <c r="K71" s="61"/>
      <c r="L71" s="61"/>
      <c r="M71" s="61"/>
      <c r="N71" s="61"/>
      <c r="O71" s="61"/>
      <c r="P71" s="61"/>
    </row>
    <row r="72" spans="2:16" s="59" customFormat="1" ht="22.2" customHeight="1" x14ac:dyDescent="0.3">
      <c r="B72" s="89">
        <v>46094</v>
      </c>
      <c r="C72" s="92">
        <v>39</v>
      </c>
      <c r="D72" s="95" t="s">
        <v>262</v>
      </c>
      <c r="E72" s="97" t="s">
        <v>255</v>
      </c>
      <c r="F72" s="92" t="s">
        <v>187</v>
      </c>
      <c r="G72" s="61">
        <v>31</v>
      </c>
      <c r="H72" s="66"/>
      <c r="I72" s="66">
        <f t="shared" si="3"/>
        <v>0</v>
      </c>
      <c r="J72" s="61"/>
      <c r="K72" s="61"/>
      <c r="L72" s="61"/>
      <c r="M72" s="61"/>
      <c r="N72" s="61"/>
      <c r="O72" s="61"/>
      <c r="P72" s="61"/>
    </row>
    <row r="73" spans="2:16" s="59" customFormat="1" ht="19.95" customHeight="1" x14ac:dyDescent="0.3">
      <c r="B73" s="91"/>
      <c r="C73" s="94"/>
      <c r="D73" s="96"/>
      <c r="E73" s="94"/>
      <c r="F73" s="94"/>
      <c r="G73" s="61">
        <v>25</v>
      </c>
      <c r="H73" s="66"/>
      <c r="I73" s="66">
        <f t="shared" si="3"/>
        <v>0</v>
      </c>
      <c r="J73" s="61"/>
      <c r="K73" s="61"/>
      <c r="L73" s="61"/>
      <c r="M73" s="61"/>
      <c r="N73" s="61"/>
      <c r="O73" s="61"/>
      <c r="P73" s="61"/>
    </row>
    <row r="74" spans="2:16" s="59" customFormat="1" ht="22.2" customHeight="1" x14ac:dyDescent="0.3">
      <c r="B74" s="89">
        <v>46094</v>
      </c>
      <c r="C74" s="92">
        <v>40</v>
      </c>
      <c r="D74" s="95" t="s">
        <v>261</v>
      </c>
      <c r="E74" s="97" t="s">
        <v>255</v>
      </c>
      <c r="F74" s="92" t="s">
        <v>187</v>
      </c>
      <c r="G74" s="61">
        <v>30</v>
      </c>
      <c r="H74" s="66"/>
      <c r="I74" s="66">
        <f t="shared" si="3"/>
        <v>0</v>
      </c>
      <c r="J74" s="61"/>
      <c r="K74" s="61"/>
      <c r="L74" s="61"/>
      <c r="M74" s="61"/>
      <c r="N74" s="61"/>
      <c r="O74" s="61"/>
      <c r="P74" s="61"/>
    </row>
    <row r="75" spans="2:16" s="59" customFormat="1" ht="19.95" customHeight="1" x14ac:dyDescent="0.3">
      <c r="B75" s="91"/>
      <c r="C75" s="94"/>
      <c r="D75" s="96"/>
      <c r="E75" s="94"/>
      <c r="F75" s="94"/>
      <c r="G75" s="61">
        <v>26</v>
      </c>
      <c r="H75" s="66"/>
      <c r="I75" s="66">
        <f t="shared" si="3"/>
        <v>0</v>
      </c>
      <c r="J75" s="61"/>
      <c r="K75" s="61"/>
      <c r="L75" s="61"/>
      <c r="M75" s="61"/>
      <c r="N75" s="61"/>
      <c r="O75" s="61"/>
      <c r="P75" s="61"/>
    </row>
    <row r="76" spans="2:16" s="59" customFormat="1" ht="22.2" customHeight="1" x14ac:dyDescent="0.3">
      <c r="B76" s="89">
        <v>46094</v>
      </c>
      <c r="C76" s="92">
        <v>41</v>
      </c>
      <c r="D76" s="95" t="s">
        <v>260</v>
      </c>
      <c r="E76" s="97" t="s">
        <v>256</v>
      </c>
      <c r="F76" s="92" t="s">
        <v>187</v>
      </c>
      <c r="G76" s="61">
        <v>29</v>
      </c>
      <c r="H76" s="66"/>
      <c r="I76" s="66">
        <f t="shared" si="3"/>
        <v>0</v>
      </c>
      <c r="J76" s="61"/>
      <c r="K76" s="61"/>
      <c r="L76" s="61"/>
      <c r="M76" s="61"/>
      <c r="N76" s="61"/>
      <c r="O76" s="61"/>
      <c r="P76" s="61"/>
    </row>
    <row r="77" spans="2:16" s="59" customFormat="1" ht="19.95" customHeight="1" x14ac:dyDescent="0.3">
      <c r="B77" s="91"/>
      <c r="C77" s="94"/>
      <c r="D77" s="96"/>
      <c r="E77" s="94"/>
      <c r="F77" s="94"/>
      <c r="G77" s="61">
        <v>28</v>
      </c>
      <c r="H77" s="66"/>
      <c r="I77" s="66">
        <f t="shared" si="3"/>
        <v>0</v>
      </c>
      <c r="J77" s="61"/>
      <c r="K77" s="61"/>
      <c r="L77" s="61"/>
      <c r="M77" s="61"/>
      <c r="N77" s="61"/>
      <c r="O77" s="61"/>
      <c r="P77" s="61"/>
    </row>
    <row r="78" spans="2:16" s="59" customFormat="1" ht="22.2" customHeight="1" x14ac:dyDescent="0.3">
      <c r="B78" s="89">
        <v>46094</v>
      </c>
      <c r="C78" s="92">
        <v>42</v>
      </c>
      <c r="D78" s="95" t="s">
        <v>259</v>
      </c>
      <c r="E78" s="97" t="s">
        <v>257</v>
      </c>
      <c r="F78" s="92" t="s">
        <v>187</v>
      </c>
      <c r="G78" s="61">
        <v>9</v>
      </c>
      <c r="H78" s="66"/>
      <c r="I78" s="66">
        <f t="shared" si="3"/>
        <v>0</v>
      </c>
      <c r="J78" s="61"/>
      <c r="K78" s="61"/>
      <c r="L78" s="61"/>
      <c r="M78" s="61"/>
      <c r="N78" s="61"/>
      <c r="O78" s="61"/>
      <c r="P78" s="61"/>
    </row>
    <row r="79" spans="2:16" s="59" customFormat="1" ht="19.95" customHeight="1" x14ac:dyDescent="0.3">
      <c r="B79" s="91"/>
      <c r="C79" s="94"/>
      <c r="D79" s="96"/>
      <c r="E79" s="94"/>
      <c r="F79" s="94"/>
      <c r="G79" s="61">
        <v>26</v>
      </c>
      <c r="H79" s="66"/>
      <c r="I79" s="66">
        <f t="shared" si="3"/>
        <v>0</v>
      </c>
      <c r="J79" s="61"/>
      <c r="K79" s="61"/>
      <c r="L79" s="61"/>
      <c r="M79" s="61"/>
      <c r="N79" s="61"/>
      <c r="O79" s="61"/>
      <c r="P79" s="61"/>
    </row>
    <row r="80" spans="2:16" s="59" customFormat="1" ht="22.2" customHeight="1" x14ac:dyDescent="0.3">
      <c r="B80" s="89">
        <v>46094</v>
      </c>
      <c r="C80" s="92">
        <v>43</v>
      </c>
      <c r="D80" s="95" t="s">
        <v>258</v>
      </c>
      <c r="E80" s="97" t="s">
        <v>257</v>
      </c>
      <c r="F80" s="92" t="s">
        <v>187</v>
      </c>
      <c r="G80" s="61">
        <v>27</v>
      </c>
      <c r="H80" s="66"/>
      <c r="I80" s="66">
        <f t="shared" si="3"/>
        <v>0</v>
      </c>
      <c r="J80" s="61"/>
      <c r="K80" s="61"/>
      <c r="L80" s="61"/>
      <c r="M80" s="61"/>
      <c r="N80" s="61"/>
      <c r="O80" s="61"/>
      <c r="P80" s="61"/>
    </row>
    <row r="81" spans="2:16" s="59" customFormat="1" ht="19.95" customHeight="1" x14ac:dyDescent="0.3">
      <c r="B81" s="91"/>
      <c r="C81" s="94"/>
      <c r="D81" s="96"/>
      <c r="E81" s="94"/>
      <c r="F81" s="94"/>
      <c r="G81" s="61">
        <v>25</v>
      </c>
      <c r="H81" s="66"/>
      <c r="I81" s="66">
        <f t="shared" si="3"/>
        <v>0</v>
      </c>
      <c r="J81" s="61"/>
      <c r="K81" s="61"/>
      <c r="L81" s="61"/>
      <c r="M81" s="61"/>
      <c r="N81" s="61"/>
      <c r="O81" s="61"/>
      <c r="P81" s="61"/>
    </row>
    <row r="82" spans="2:16" s="59" customFormat="1" ht="19.95" customHeight="1" x14ac:dyDescent="0.3">
      <c r="B82" s="62">
        <v>46094</v>
      </c>
      <c r="C82" s="61">
        <v>44</v>
      </c>
      <c r="D82" s="78" t="s">
        <v>265</v>
      </c>
      <c r="E82" s="61" t="s">
        <v>215</v>
      </c>
      <c r="F82" s="61" t="s">
        <v>216</v>
      </c>
      <c r="G82" s="61">
        <v>2</v>
      </c>
      <c r="H82" s="66"/>
      <c r="I82" s="66">
        <f t="shared" ref="I82:I96" si="4">+G82*H82</f>
        <v>0</v>
      </c>
      <c r="J82" s="61"/>
      <c r="K82" s="61"/>
      <c r="L82" s="61"/>
      <c r="M82" s="61"/>
      <c r="N82" s="61"/>
      <c r="O82" s="61"/>
      <c r="P82" s="61"/>
    </row>
    <row r="83" spans="2:16" s="59" customFormat="1" ht="19.95" customHeight="1" x14ac:dyDescent="0.3">
      <c r="B83" s="62">
        <v>46094</v>
      </c>
      <c r="C83" s="61">
        <v>45</v>
      </c>
      <c r="D83" s="78" t="s">
        <v>266</v>
      </c>
      <c r="E83" s="61" t="s">
        <v>215</v>
      </c>
      <c r="F83" s="61" t="s">
        <v>216</v>
      </c>
      <c r="G83" s="61">
        <v>2</v>
      </c>
      <c r="H83" s="66"/>
      <c r="I83" s="66">
        <f t="shared" si="4"/>
        <v>0</v>
      </c>
      <c r="J83" s="69"/>
      <c r="K83" s="61"/>
      <c r="L83" s="61"/>
      <c r="M83" s="61"/>
      <c r="N83" s="61"/>
      <c r="O83" s="61"/>
      <c r="P83" s="61"/>
    </row>
    <row r="84" spans="2:16" s="59" customFormat="1" ht="19.95" customHeight="1" x14ac:dyDescent="0.3">
      <c r="B84" s="62">
        <v>46094</v>
      </c>
      <c r="C84" s="68">
        <v>46</v>
      </c>
      <c r="D84" s="78" t="s">
        <v>267</v>
      </c>
      <c r="E84" s="61" t="s">
        <v>215</v>
      </c>
      <c r="F84" s="61" t="s">
        <v>216</v>
      </c>
      <c r="G84" s="61">
        <v>2</v>
      </c>
      <c r="H84" s="66"/>
      <c r="I84" s="66">
        <f t="shared" si="4"/>
        <v>0</v>
      </c>
      <c r="J84" s="69"/>
      <c r="K84" s="61"/>
      <c r="L84" s="61"/>
      <c r="M84" s="61"/>
      <c r="N84" s="61"/>
      <c r="O84" s="61"/>
      <c r="P84" s="61"/>
    </row>
    <row r="85" spans="2:16" s="59" customFormat="1" ht="31.2" customHeight="1" x14ac:dyDescent="0.3">
      <c r="B85" s="70">
        <v>46094</v>
      </c>
      <c r="C85" s="68">
        <v>47</v>
      </c>
      <c r="D85" s="75" t="s">
        <v>268</v>
      </c>
      <c r="E85" s="68" t="s">
        <v>214</v>
      </c>
      <c r="F85" s="68" t="s">
        <v>187</v>
      </c>
      <c r="G85" s="61">
        <v>3</v>
      </c>
      <c r="H85" s="66"/>
      <c r="I85" s="66">
        <f t="shared" si="4"/>
        <v>0</v>
      </c>
      <c r="J85" s="69"/>
      <c r="K85" s="61"/>
      <c r="L85" s="61"/>
      <c r="M85" s="61"/>
      <c r="N85" s="61"/>
      <c r="O85" s="61"/>
      <c r="P85" s="61"/>
    </row>
    <row r="86" spans="2:16" s="59" customFormat="1" ht="20.399999999999999" x14ac:dyDescent="0.3">
      <c r="B86" s="89">
        <v>46027</v>
      </c>
      <c r="C86" s="92">
        <v>48</v>
      </c>
      <c r="D86" s="75" t="s">
        <v>270</v>
      </c>
      <c r="E86" s="68" t="s">
        <v>271</v>
      </c>
      <c r="F86" s="68" t="s">
        <v>187</v>
      </c>
      <c r="G86" s="61">
        <v>4</v>
      </c>
      <c r="H86" s="66"/>
      <c r="I86" s="66">
        <f t="shared" si="4"/>
        <v>0</v>
      </c>
      <c r="J86" s="61"/>
      <c r="K86" s="61"/>
      <c r="L86" s="61"/>
      <c r="M86" s="61"/>
      <c r="N86" s="61"/>
      <c r="O86" s="61"/>
      <c r="P86" s="61"/>
    </row>
    <row r="87" spans="2:16" s="59" customFormat="1" ht="23.4" customHeight="1" x14ac:dyDescent="0.3">
      <c r="B87" s="91"/>
      <c r="C87" s="94"/>
      <c r="D87" s="75" t="s">
        <v>269</v>
      </c>
      <c r="E87" s="72"/>
      <c r="F87" s="68" t="s">
        <v>195</v>
      </c>
      <c r="G87" s="61">
        <v>143</v>
      </c>
      <c r="H87" s="66"/>
      <c r="I87" s="66">
        <f t="shared" si="4"/>
        <v>0</v>
      </c>
      <c r="J87" s="63" t="s">
        <v>272</v>
      </c>
      <c r="K87" s="61" t="s">
        <v>195</v>
      </c>
      <c r="L87" s="61">
        <v>143</v>
      </c>
      <c r="M87" s="61"/>
      <c r="N87" s="61"/>
      <c r="O87" s="61"/>
      <c r="P87" s="61"/>
    </row>
    <row r="88" spans="2:16" s="59" customFormat="1" ht="35.4" customHeight="1" x14ac:dyDescent="0.3">
      <c r="B88" s="62">
        <v>46039</v>
      </c>
      <c r="C88" s="61">
        <v>49</v>
      </c>
      <c r="D88" s="75" t="s">
        <v>273</v>
      </c>
      <c r="E88" s="72" t="s">
        <v>214</v>
      </c>
      <c r="F88" s="68" t="s">
        <v>187</v>
      </c>
      <c r="G88" s="61">
        <v>3</v>
      </c>
      <c r="H88" s="66"/>
      <c r="I88" s="66">
        <f t="shared" si="4"/>
        <v>0</v>
      </c>
      <c r="J88" s="63" t="s">
        <v>197</v>
      </c>
      <c r="K88" s="61" t="s">
        <v>195</v>
      </c>
      <c r="L88" s="61">
        <v>10</v>
      </c>
      <c r="M88" s="61"/>
      <c r="N88" s="61"/>
      <c r="O88" s="61"/>
      <c r="P88" s="61"/>
    </row>
    <row r="89" spans="2:16" s="59" customFormat="1" ht="35.4" customHeight="1" x14ac:dyDescent="0.3">
      <c r="B89" s="81">
        <v>46047</v>
      </c>
      <c r="C89" s="80">
        <v>50</v>
      </c>
      <c r="D89" s="75" t="s">
        <v>274</v>
      </c>
      <c r="E89" s="72" t="s">
        <v>275</v>
      </c>
      <c r="F89" s="68" t="s">
        <v>187</v>
      </c>
      <c r="G89" s="61">
        <v>2</v>
      </c>
      <c r="H89" s="66"/>
      <c r="I89" s="66">
        <f t="shared" si="4"/>
        <v>0</v>
      </c>
      <c r="J89" s="63" t="s">
        <v>197</v>
      </c>
      <c r="K89" s="61" t="s">
        <v>195</v>
      </c>
      <c r="L89" s="61">
        <v>10</v>
      </c>
      <c r="M89" s="61"/>
      <c r="N89" s="61"/>
      <c r="O89" s="61"/>
      <c r="P89" s="61"/>
    </row>
    <row r="90" spans="2:16" s="59" customFormat="1" ht="22.2" customHeight="1" x14ac:dyDescent="0.3">
      <c r="B90" s="89">
        <v>46062</v>
      </c>
      <c r="C90" s="92">
        <v>51</v>
      </c>
      <c r="D90" s="95" t="s">
        <v>276</v>
      </c>
      <c r="E90" s="97" t="s">
        <v>251</v>
      </c>
      <c r="F90" s="92" t="s">
        <v>187</v>
      </c>
      <c r="G90" s="61">
        <v>3</v>
      </c>
      <c r="H90" s="66"/>
      <c r="I90" s="66">
        <f t="shared" si="4"/>
        <v>0</v>
      </c>
      <c r="J90" s="61"/>
      <c r="K90" s="61"/>
      <c r="L90" s="61"/>
      <c r="M90" s="61"/>
      <c r="N90" s="61"/>
      <c r="O90" s="61"/>
      <c r="P90" s="61"/>
    </row>
    <row r="91" spans="2:16" s="59" customFormat="1" ht="19.95" customHeight="1" x14ac:dyDescent="0.3">
      <c r="B91" s="91"/>
      <c r="C91" s="94"/>
      <c r="D91" s="96"/>
      <c r="E91" s="94"/>
      <c r="F91" s="94"/>
      <c r="G91" s="61">
        <v>1</v>
      </c>
      <c r="H91" s="66"/>
      <c r="I91" s="66">
        <f t="shared" si="4"/>
        <v>0</v>
      </c>
      <c r="J91" s="61"/>
      <c r="K91" s="61"/>
      <c r="L91" s="61"/>
      <c r="M91" s="61"/>
      <c r="N91" s="61"/>
      <c r="O91" s="61"/>
      <c r="P91" s="61"/>
    </row>
    <row r="92" spans="2:16" s="59" customFormat="1" ht="30" customHeight="1" x14ac:dyDescent="0.3">
      <c r="B92" s="62">
        <v>46066</v>
      </c>
      <c r="C92" s="61">
        <v>52</v>
      </c>
      <c r="D92" s="78" t="s">
        <v>277</v>
      </c>
      <c r="E92" s="61" t="s">
        <v>275</v>
      </c>
      <c r="F92" s="80" t="s">
        <v>187</v>
      </c>
      <c r="G92" s="61">
        <v>2</v>
      </c>
      <c r="H92" s="66"/>
      <c r="I92" s="66">
        <f t="shared" si="4"/>
        <v>0</v>
      </c>
      <c r="J92" s="61"/>
      <c r="K92" s="61"/>
      <c r="L92" s="61"/>
      <c r="M92" s="61"/>
      <c r="N92" s="61"/>
      <c r="O92" s="61"/>
      <c r="P92" s="61"/>
    </row>
    <row r="93" spans="2:16" s="59" customFormat="1" ht="28.8" customHeight="1" x14ac:dyDescent="0.3">
      <c r="B93" s="71">
        <v>46069</v>
      </c>
      <c r="C93" s="69">
        <v>53</v>
      </c>
      <c r="D93" s="76" t="s">
        <v>278</v>
      </c>
      <c r="E93" s="69" t="s">
        <v>275</v>
      </c>
      <c r="F93" s="69" t="s">
        <v>187</v>
      </c>
      <c r="G93" s="61">
        <v>2</v>
      </c>
      <c r="H93" s="66"/>
      <c r="I93" s="66">
        <f t="shared" si="4"/>
        <v>0</v>
      </c>
      <c r="J93" s="61" t="s">
        <v>239</v>
      </c>
      <c r="K93" s="61" t="s">
        <v>193</v>
      </c>
      <c r="L93" s="61">
        <v>77.44</v>
      </c>
      <c r="M93" s="61"/>
      <c r="N93" s="61"/>
      <c r="O93" s="61"/>
      <c r="P93" s="61"/>
    </row>
    <row r="94" spans="2:16" s="59" customFormat="1" ht="28.8" customHeight="1" x14ac:dyDescent="0.3">
      <c r="B94" s="62">
        <v>46078</v>
      </c>
      <c r="C94" s="61">
        <v>54</v>
      </c>
      <c r="D94" s="78" t="s">
        <v>279</v>
      </c>
      <c r="E94" s="61" t="s">
        <v>224</v>
      </c>
      <c r="F94" s="61" t="s">
        <v>187</v>
      </c>
      <c r="G94" s="69">
        <v>2</v>
      </c>
      <c r="H94" s="67"/>
      <c r="I94" s="66">
        <f t="shared" si="4"/>
        <v>0</v>
      </c>
      <c r="J94" s="61" t="s">
        <v>194</v>
      </c>
      <c r="K94" s="61" t="s">
        <v>195</v>
      </c>
      <c r="L94" s="61">
        <v>4.5</v>
      </c>
      <c r="M94" s="61"/>
      <c r="N94" s="61"/>
      <c r="O94" s="61"/>
      <c r="P94" s="61"/>
    </row>
    <row r="95" spans="2:16" s="59" customFormat="1" ht="30" customHeight="1" x14ac:dyDescent="0.3">
      <c r="B95" s="62">
        <v>46079</v>
      </c>
      <c r="C95" s="61">
        <v>55</v>
      </c>
      <c r="D95" s="78" t="s">
        <v>280</v>
      </c>
      <c r="E95" s="61" t="s">
        <v>224</v>
      </c>
      <c r="F95" s="61" t="s">
        <v>187</v>
      </c>
      <c r="G95" s="69">
        <v>3</v>
      </c>
      <c r="H95" s="67"/>
      <c r="I95" s="66">
        <f t="shared" si="4"/>
        <v>0</v>
      </c>
      <c r="J95" s="61" t="s">
        <v>194</v>
      </c>
      <c r="K95" s="61" t="s">
        <v>195</v>
      </c>
      <c r="L95" s="61">
        <v>9</v>
      </c>
      <c r="M95" s="61"/>
      <c r="N95" s="61"/>
      <c r="O95" s="61"/>
      <c r="P95" s="61"/>
    </row>
    <row r="96" spans="2:16" s="59" customFormat="1" ht="30" customHeight="1" x14ac:dyDescent="0.3">
      <c r="B96" s="81">
        <v>46080</v>
      </c>
      <c r="C96" s="61">
        <v>56</v>
      </c>
      <c r="D96" s="79" t="s">
        <v>281</v>
      </c>
      <c r="E96" s="61" t="s">
        <v>224</v>
      </c>
      <c r="F96" s="61" t="s">
        <v>187</v>
      </c>
      <c r="G96" s="69">
        <v>2</v>
      </c>
      <c r="H96" s="67"/>
      <c r="I96" s="66">
        <f t="shared" si="4"/>
        <v>0</v>
      </c>
      <c r="J96" s="61" t="s">
        <v>194</v>
      </c>
      <c r="K96" s="61" t="s">
        <v>195</v>
      </c>
      <c r="L96" s="61">
        <v>9</v>
      </c>
      <c r="M96" s="61"/>
      <c r="N96" s="61"/>
      <c r="O96" s="61"/>
      <c r="P96" s="61"/>
    </row>
    <row r="97" spans="2:16" s="59" customFormat="1" ht="22.2" customHeight="1" x14ac:dyDescent="0.3">
      <c r="B97" s="89"/>
      <c r="C97" s="92"/>
      <c r="D97" s="95"/>
      <c r="E97" s="97"/>
      <c r="F97" s="92"/>
      <c r="G97" s="61"/>
      <c r="H97" s="66"/>
      <c r="I97" s="66"/>
      <c r="J97" s="61"/>
      <c r="K97" s="61"/>
      <c r="L97" s="61"/>
      <c r="M97" s="61"/>
      <c r="N97" s="61"/>
      <c r="O97" s="61"/>
      <c r="P97" s="61"/>
    </row>
    <row r="98" spans="2:16" s="59" customFormat="1" ht="19.95" customHeight="1" x14ac:dyDescent="0.3">
      <c r="B98" s="91"/>
      <c r="C98" s="94"/>
      <c r="D98" s="96"/>
      <c r="E98" s="98"/>
      <c r="F98" s="94"/>
      <c r="G98" s="61"/>
      <c r="H98" s="66"/>
      <c r="I98" s="66"/>
      <c r="J98" s="61"/>
      <c r="K98" s="61"/>
      <c r="L98" s="61"/>
      <c r="M98" s="61"/>
      <c r="N98" s="61"/>
      <c r="O98" s="61"/>
      <c r="P98" s="61"/>
    </row>
    <row r="99" spans="2:16" s="59" customFormat="1" ht="22.2" customHeight="1" x14ac:dyDescent="0.3">
      <c r="B99" s="89"/>
      <c r="C99" s="92"/>
      <c r="D99" s="95"/>
      <c r="E99" s="97"/>
      <c r="F99" s="92"/>
      <c r="G99" s="61"/>
      <c r="H99" s="66"/>
      <c r="I99" s="66"/>
      <c r="J99" s="61"/>
      <c r="K99" s="61"/>
      <c r="L99" s="61"/>
      <c r="M99" s="61"/>
      <c r="N99" s="61"/>
      <c r="O99" s="61"/>
      <c r="P99" s="61"/>
    </row>
    <row r="100" spans="2:16" s="59" customFormat="1" ht="19.95" customHeight="1" x14ac:dyDescent="0.3">
      <c r="B100" s="91"/>
      <c r="C100" s="94"/>
      <c r="D100" s="96"/>
      <c r="E100" s="94"/>
      <c r="F100" s="94"/>
      <c r="G100" s="61"/>
      <c r="H100" s="66"/>
      <c r="I100" s="66"/>
      <c r="J100" s="61"/>
      <c r="K100" s="61"/>
      <c r="L100" s="61"/>
      <c r="M100" s="61"/>
      <c r="N100" s="61"/>
      <c r="O100" s="61"/>
      <c r="P100" s="61"/>
    </row>
    <row r="101" spans="2:16" s="59" customFormat="1" ht="22.2" customHeight="1" x14ac:dyDescent="0.3">
      <c r="B101" s="89"/>
      <c r="C101" s="92"/>
      <c r="D101" s="95"/>
      <c r="E101" s="97"/>
      <c r="F101" s="92"/>
      <c r="G101" s="61"/>
      <c r="H101" s="66"/>
      <c r="I101" s="66"/>
      <c r="J101" s="61"/>
      <c r="K101" s="61"/>
      <c r="L101" s="61"/>
      <c r="M101" s="61"/>
      <c r="N101" s="61"/>
      <c r="O101" s="61"/>
      <c r="P101" s="61"/>
    </row>
    <row r="102" spans="2:16" s="59" customFormat="1" ht="19.95" customHeight="1" x14ac:dyDescent="0.3">
      <c r="B102" s="91"/>
      <c r="C102" s="94"/>
      <c r="D102" s="96"/>
      <c r="E102" s="94"/>
      <c r="F102" s="94"/>
      <c r="G102" s="61"/>
      <c r="H102" s="66"/>
      <c r="I102" s="66"/>
      <c r="J102" s="61"/>
      <c r="K102" s="61"/>
      <c r="L102" s="61"/>
      <c r="M102" s="61"/>
      <c r="N102" s="61"/>
      <c r="O102" s="61"/>
      <c r="P102" s="61"/>
    </row>
    <row r="103" spans="2:16" s="59" customFormat="1" ht="22.2" customHeight="1" x14ac:dyDescent="0.3">
      <c r="B103" s="89"/>
      <c r="C103" s="92"/>
      <c r="D103" s="95"/>
      <c r="E103" s="97"/>
      <c r="F103" s="92"/>
      <c r="G103" s="61"/>
      <c r="H103" s="66"/>
      <c r="I103" s="66"/>
      <c r="J103" s="61"/>
      <c r="K103" s="61"/>
      <c r="L103" s="61"/>
      <c r="M103" s="61"/>
      <c r="N103" s="61"/>
      <c r="O103" s="61"/>
      <c r="P103" s="61"/>
    </row>
    <row r="104" spans="2:16" s="59" customFormat="1" ht="19.95" customHeight="1" x14ac:dyDescent="0.3">
      <c r="B104" s="91"/>
      <c r="C104" s="94"/>
      <c r="D104" s="96"/>
      <c r="E104" s="94"/>
      <c r="F104" s="94"/>
      <c r="G104" s="61"/>
      <c r="H104" s="66"/>
      <c r="I104" s="66"/>
      <c r="J104" s="61"/>
      <c r="K104" s="61"/>
      <c r="L104" s="61"/>
      <c r="M104" s="61"/>
      <c r="N104" s="61"/>
      <c r="O104" s="61"/>
      <c r="P104" s="61"/>
    </row>
    <row r="105" spans="2:16" s="59" customFormat="1" ht="22.2" customHeight="1" x14ac:dyDescent="0.3">
      <c r="B105" s="89"/>
      <c r="C105" s="92"/>
      <c r="D105" s="95"/>
      <c r="E105" s="97"/>
      <c r="F105" s="92"/>
      <c r="G105" s="61"/>
      <c r="H105" s="66"/>
      <c r="I105" s="66"/>
      <c r="J105" s="61"/>
      <c r="K105" s="61"/>
      <c r="L105" s="61"/>
      <c r="M105" s="61"/>
      <c r="N105" s="61"/>
      <c r="O105" s="61"/>
      <c r="P105" s="61"/>
    </row>
    <row r="106" spans="2:16" s="59" customFormat="1" ht="19.95" customHeight="1" x14ac:dyDescent="0.3">
      <c r="B106" s="91"/>
      <c r="C106" s="94"/>
      <c r="D106" s="96"/>
      <c r="E106" s="94"/>
      <c r="F106" s="94"/>
      <c r="G106" s="61"/>
      <c r="H106" s="66"/>
      <c r="I106" s="66"/>
      <c r="J106" s="61"/>
      <c r="K106" s="61"/>
      <c r="L106" s="61"/>
      <c r="M106" s="61"/>
      <c r="N106" s="61"/>
      <c r="O106" s="61"/>
      <c r="P106" s="61"/>
    </row>
    <row r="107" spans="2:16" s="59" customFormat="1" ht="22.2" customHeight="1" x14ac:dyDescent="0.3">
      <c r="B107" s="89"/>
      <c r="C107" s="92"/>
      <c r="D107" s="95"/>
      <c r="E107" s="97"/>
      <c r="F107" s="92"/>
      <c r="G107" s="61"/>
      <c r="H107" s="66"/>
      <c r="I107" s="66"/>
      <c r="J107" s="61"/>
      <c r="K107" s="61"/>
      <c r="L107" s="61"/>
      <c r="M107" s="61"/>
      <c r="N107" s="61"/>
      <c r="O107" s="61"/>
      <c r="P107" s="61"/>
    </row>
    <row r="108" spans="2:16" s="59" customFormat="1" ht="19.95" customHeight="1" x14ac:dyDescent="0.3">
      <c r="B108" s="91"/>
      <c r="C108" s="94"/>
      <c r="D108" s="96"/>
      <c r="E108" s="94"/>
      <c r="F108" s="94"/>
      <c r="G108" s="61"/>
      <c r="H108" s="66"/>
      <c r="I108" s="66"/>
      <c r="J108" s="61"/>
      <c r="K108" s="61"/>
      <c r="L108" s="61"/>
      <c r="M108" s="61"/>
      <c r="N108" s="61"/>
      <c r="O108" s="61"/>
      <c r="P108" s="61"/>
    </row>
    <row r="109" spans="2:16" s="59" customFormat="1" ht="22.2" customHeight="1" x14ac:dyDescent="0.3">
      <c r="B109" s="89"/>
      <c r="C109" s="92"/>
      <c r="D109" s="95"/>
      <c r="E109" s="97"/>
      <c r="F109" s="92"/>
      <c r="G109" s="61"/>
      <c r="H109" s="66"/>
      <c r="I109" s="66"/>
      <c r="J109" s="61"/>
      <c r="K109" s="61"/>
      <c r="L109" s="61"/>
      <c r="M109" s="61"/>
      <c r="N109" s="61"/>
      <c r="O109" s="61"/>
      <c r="P109" s="61"/>
    </row>
    <row r="110" spans="2:16" s="59" customFormat="1" ht="19.95" customHeight="1" x14ac:dyDescent="0.3">
      <c r="B110" s="91"/>
      <c r="C110" s="94"/>
      <c r="D110" s="96"/>
      <c r="E110" s="94"/>
      <c r="F110" s="94"/>
      <c r="G110" s="61"/>
      <c r="H110" s="66"/>
      <c r="I110" s="66"/>
      <c r="J110" s="61"/>
      <c r="K110" s="61"/>
      <c r="L110" s="61"/>
      <c r="M110" s="61"/>
      <c r="N110" s="61"/>
      <c r="O110" s="61"/>
      <c r="P110" s="61"/>
    </row>
    <row r="111" spans="2:16" s="59" customFormat="1" ht="22.2" customHeight="1" x14ac:dyDescent="0.3">
      <c r="B111" s="89"/>
      <c r="C111" s="92"/>
      <c r="D111" s="95"/>
      <c r="E111" s="97"/>
      <c r="F111" s="92"/>
      <c r="G111" s="61"/>
      <c r="H111" s="66"/>
      <c r="I111" s="66"/>
      <c r="J111" s="61"/>
      <c r="K111" s="61"/>
      <c r="L111" s="61"/>
      <c r="M111" s="61"/>
      <c r="N111" s="61"/>
      <c r="O111" s="61"/>
      <c r="P111" s="61"/>
    </row>
    <row r="112" spans="2:16" s="59" customFormat="1" ht="19.95" customHeight="1" x14ac:dyDescent="0.3">
      <c r="B112" s="91"/>
      <c r="C112" s="94"/>
      <c r="D112" s="96"/>
      <c r="E112" s="94"/>
      <c r="F112" s="94"/>
      <c r="G112" s="61"/>
      <c r="H112" s="66"/>
      <c r="I112" s="66"/>
      <c r="J112" s="61"/>
      <c r="K112" s="61"/>
      <c r="L112" s="61"/>
      <c r="M112" s="61"/>
      <c r="N112" s="61"/>
      <c r="O112" s="61"/>
      <c r="P112" s="61"/>
    </row>
    <row r="113" spans="2:16" s="59" customFormat="1" ht="22.2" customHeight="1" x14ac:dyDescent="0.3">
      <c r="B113" s="89"/>
      <c r="C113" s="92"/>
      <c r="D113" s="95"/>
      <c r="E113" s="97"/>
      <c r="F113" s="92"/>
      <c r="G113" s="61"/>
      <c r="H113" s="66"/>
      <c r="I113" s="66"/>
      <c r="J113" s="61"/>
      <c r="K113" s="61"/>
      <c r="L113" s="61"/>
      <c r="M113" s="61"/>
      <c r="N113" s="61"/>
      <c r="O113" s="61"/>
      <c r="P113" s="61"/>
    </row>
    <row r="114" spans="2:16" s="59" customFormat="1" ht="19.95" customHeight="1" x14ac:dyDescent="0.3">
      <c r="B114" s="91"/>
      <c r="C114" s="94"/>
      <c r="D114" s="96"/>
      <c r="E114" s="94"/>
      <c r="F114" s="94"/>
      <c r="G114" s="61"/>
      <c r="H114" s="66"/>
      <c r="I114" s="66"/>
      <c r="J114" s="61"/>
      <c r="K114" s="61"/>
      <c r="L114" s="61"/>
      <c r="M114" s="61"/>
      <c r="N114" s="61"/>
      <c r="O114" s="61"/>
      <c r="P114" s="61"/>
    </row>
  </sheetData>
  <mergeCells count="245">
    <mergeCell ref="B2:P2"/>
    <mergeCell ref="D21:D22"/>
    <mergeCell ref="E21:E22"/>
    <mergeCell ref="F21:F22"/>
    <mergeCell ref="B21:B22"/>
    <mergeCell ref="C21:C22"/>
    <mergeCell ref="B17:B18"/>
    <mergeCell ref="F5:F6"/>
    <mergeCell ref="E5:E6"/>
    <mergeCell ref="D5:D6"/>
    <mergeCell ref="C5:C6"/>
    <mergeCell ref="B5:B6"/>
    <mergeCell ref="F7:F8"/>
    <mergeCell ref="L7:L8"/>
    <mergeCell ref="K7:K8"/>
    <mergeCell ref="J7:J8"/>
    <mergeCell ref="B9:B10"/>
    <mergeCell ref="C9:C10"/>
    <mergeCell ref="D9:D10"/>
    <mergeCell ref="E9:E10"/>
    <mergeCell ref="F9:F10"/>
    <mergeCell ref="E7:E8"/>
    <mergeCell ref="D7:D8"/>
    <mergeCell ref="C7:C8"/>
    <mergeCell ref="B7:B8"/>
    <mergeCell ref="J9:J10"/>
    <mergeCell ref="K9:K10"/>
    <mergeCell ref="L9:L10"/>
    <mergeCell ref="B11:B12"/>
    <mergeCell ref="C11:C12"/>
    <mergeCell ref="D11:D12"/>
    <mergeCell ref="E11:E12"/>
    <mergeCell ref="F11:F12"/>
    <mergeCell ref="J11:J12"/>
    <mergeCell ref="K11:K12"/>
    <mergeCell ref="L11:L12"/>
    <mergeCell ref="B13:B14"/>
    <mergeCell ref="C13:C14"/>
    <mergeCell ref="D13:D14"/>
    <mergeCell ref="E13:E14"/>
    <mergeCell ref="F13:F14"/>
    <mergeCell ref="J13:J14"/>
    <mergeCell ref="K13:K14"/>
    <mergeCell ref="L13:L14"/>
    <mergeCell ref="B15:B16"/>
    <mergeCell ref="C15:C16"/>
    <mergeCell ref="D15:D16"/>
    <mergeCell ref="E15:E16"/>
    <mergeCell ref="F15:F16"/>
    <mergeCell ref="J15:J16"/>
    <mergeCell ref="K15:K16"/>
    <mergeCell ref="L15:L16"/>
    <mergeCell ref="L17:L18"/>
    <mergeCell ref="B19:B20"/>
    <mergeCell ref="C19:C20"/>
    <mergeCell ref="D19:D20"/>
    <mergeCell ref="E19:E20"/>
    <mergeCell ref="F19:F20"/>
    <mergeCell ref="J19:J20"/>
    <mergeCell ref="K19:K20"/>
    <mergeCell ref="L19:L20"/>
    <mergeCell ref="C17:C18"/>
    <mergeCell ref="D17:D18"/>
    <mergeCell ref="E17:E18"/>
    <mergeCell ref="F17:F18"/>
    <mergeCell ref="J17:J18"/>
    <mergeCell ref="K17:K18"/>
    <mergeCell ref="L23:L24"/>
    <mergeCell ref="K23:K24"/>
    <mergeCell ref="J23:J24"/>
    <mergeCell ref="B25:B26"/>
    <mergeCell ref="C25:C26"/>
    <mergeCell ref="D25:D26"/>
    <mergeCell ref="E25:E26"/>
    <mergeCell ref="F25:F26"/>
    <mergeCell ref="B23:B24"/>
    <mergeCell ref="C23:C24"/>
    <mergeCell ref="D23:D24"/>
    <mergeCell ref="E23:E24"/>
    <mergeCell ref="F23:F24"/>
    <mergeCell ref="B36:B37"/>
    <mergeCell ref="C36:C37"/>
    <mergeCell ref="D36:D37"/>
    <mergeCell ref="E36:E37"/>
    <mergeCell ref="F36:F37"/>
    <mergeCell ref="F31:F34"/>
    <mergeCell ref="G31:G32"/>
    <mergeCell ref="G33:G34"/>
    <mergeCell ref="I33:I34"/>
    <mergeCell ref="I31:I32"/>
    <mergeCell ref="H33:H34"/>
    <mergeCell ref="H31:H32"/>
    <mergeCell ref="E31:E34"/>
    <mergeCell ref="D31:D34"/>
    <mergeCell ref="C31:C34"/>
    <mergeCell ref="B31:B34"/>
    <mergeCell ref="E39:E40"/>
    <mergeCell ref="F39:F40"/>
    <mergeCell ref="B41:B42"/>
    <mergeCell ref="C41:C42"/>
    <mergeCell ref="D41:D42"/>
    <mergeCell ref="E41:E42"/>
    <mergeCell ref="F41:F42"/>
    <mergeCell ref="B39:B40"/>
    <mergeCell ref="C39:C40"/>
    <mergeCell ref="D39:D40"/>
    <mergeCell ref="B46:B47"/>
    <mergeCell ref="C46:C47"/>
    <mergeCell ref="D46:D47"/>
    <mergeCell ref="E46:E47"/>
    <mergeCell ref="F46:F47"/>
    <mergeCell ref="B44:B45"/>
    <mergeCell ref="C44:C45"/>
    <mergeCell ref="D44:D45"/>
    <mergeCell ref="E44:E45"/>
    <mergeCell ref="F44:F45"/>
    <mergeCell ref="B51:B52"/>
    <mergeCell ref="C51:C52"/>
    <mergeCell ref="D51:D52"/>
    <mergeCell ref="E51:E52"/>
    <mergeCell ref="F51:F52"/>
    <mergeCell ref="B49:B50"/>
    <mergeCell ref="C49:C50"/>
    <mergeCell ref="D49:D50"/>
    <mergeCell ref="E49:E50"/>
    <mergeCell ref="F49:F50"/>
    <mergeCell ref="E57:E59"/>
    <mergeCell ref="D57:D59"/>
    <mergeCell ref="C57:C59"/>
    <mergeCell ref="B55:B56"/>
    <mergeCell ref="C55:C56"/>
    <mergeCell ref="D55:D56"/>
    <mergeCell ref="E55:E56"/>
    <mergeCell ref="F55:F56"/>
    <mergeCell ref="B53:B54"/>
    <mergeCell ref="C53:C54"/>
    <mergeCell ref="D53:D54"/>
    <mergeCell ref="E53:E54"/>
    <mergeCell ref="F53:F54"/>
    <mergeCell ref="B63:B64"/>
    <mergeCell ref="C63:C64"/>
    <mergeCell ref="D63:D64"/>
    <mergeCell ref="E63:E64"/>
    <mergeCell ref="F63:F64"/>
    <mergeCell ref="B60:B61"/>
    <mergeCell ref="C60:C61"/>
    <mergeCell ref="D60:D61"/>
    <mergeCell ref="E60:E61"/>
    <mergeCell ref="F60:F61"/>
    <mergeCell ref="B67:B68"/>
    <mergeCell ref="C67:C68"/>
    <mergeCell ref="D67:D68"/>
    <mergeCell ref="E67:E68"/>
    <mergeCell ref="F67:F68"/>
    <mergeCell ref="B65:B66"/>
    <mergeCell ref="C65:C66"/>
    <mergeCell ref="D65:D66"/>
    <mergeCell ref="E65:E66"/>
    <mergeCell ref="F65:F66"/>
    <mergeCell ref="B72:B73"/>
    <mergeCell ref="C72:C73"/>
    <mergeCell ref="D72:D73"/>
    <mergeCell ref="E72:E73"/>
    <mergeCell ref="F72:F73"/>
    <mergeCell ref="B70:B71"/>
    <mergeCell ref="C70:C71"/>
    <mergeCell ref="D70:D71"/>
    <mergeCell ref="E70:E71"/>
    <mergeCell ref="F70:F71"/>
    <mergeCell ref="B76:B77"/>
    <mergeCell ref="C76:C77"/>
    <mergeCell ref="D76:D77"/>
    <mergeCell ref="E76:E77"/>
    <mergeCell ref="F76:F77"/>
    <mergeCell ref="B74:B75"/>
    <mergeCell ref="C74:C75"/>
    <mergeCell ref="D74:D75"/>
    <mergeCell ref="E74:E75"/>
    <mergeCell ref="F74:F75"/>
    <mergeCell ref="B86:B87"/>
    <mergeCell ref="C86:C87"/>
    <mergeCell ref="B80:B81"/>
    <mergeCell ref="C80:C81"/>
    <mergeCell ref="D80:D81"/>
    <mergeCell ref="E80:E81"/>
    <mergeCell ref="F80:F81"/>
    <mergeCell ref="B78:B79"/>
    <mergeCell ref="C78:C79"/>
    <mergeCell ref="D78:D79"/>
    <mergeCell ref="E78:E79"/>
    <mergeCell ref="F78:F79"/>
    <mergeCell ref="B97:B98"/>
    <mergeCell ref="C97:C98"/>
    <mergeCell ref="D97:D98"/>
    <mergeCell ref="E97:E98"/>
    <mergeCell ref="F97:F98"/>
    <mergeCell ref="B90:B91"/>
    <mergeCell ref="C90:C91"/>
    <mergeCell ref="D90:D91"/>
    <mergeCell ref="E90:E91"/>
    <mergeCell ref="F90:F91"/>
    <mergeCell ref="B101:B102"/>
    <mergeCell ref="C101:C102"/>
    <mergeCell ref="D101:D102"/>
    <mergeCell ref="E101:E102"/>
    <mergeCell ref="F101:F102"/>
    <mergeCell ref="B99:B100"/>
    <mergeCell ref="C99:C100"/>
    <mergeCell ref="D99:D100"/>
    <mergeCell ref="E99:E100"/>
    <mergeCell ref="F99:F100"/>
    <mergeCell ref="B105:B106"/>
    <mergeCell ref="C105:C106"/>
    <mergeCell ref="D105:D106"/>
    <mergeCell ref="E105:E106"/>
    <mergeCell ref="F105:F106"/>
    <mergeCell ref="B103:B104"/>
    <mergeCell ref="C103:C104"/>
    <mergeCell ref="D103:D104"/>
    <mergeCell ref="E103:E104"/>
    <mergeCell ref="F103:F104"/>
    <mergeCell ref="B57:B59"/>
    <mergeCell ref="F57:F59"/>
    <mergeCell ref="G57:G58"/>
    <mergeCell ref="G60:G61"/>
    <mergeCell ref="B113:B114"/>
    <mergeCell ref="C113:C114"/>
    <mergeCell ref="D113:D114"/>
    <mergeCell ref="E113:E114"/>
    <mergeCell ref="F113:F114"/>
    <mergeCell ref="B111:B112"/>
    <mergeCell ref="C111:C112"/>
    <mergeCell ref="D111:D112"/>
    <mergeCell ref="E111:E112"/>
    <mergeCell ref="F111:F112"/>
    <mergeCell ref="B109:B110"/>
    <mergeCell ref="C109:C110"/>
    <mergeCell ref="D109:D110"/>
    <mergeCell ref="E109:E110"/>
    <mergeCell ref="F109:F110"/>
    <mergeCell ref="B107:B108"/>
    <mergeCell ref="C107:C108"/>
    <mergeCell ref="D107:D108"/>
    <mergeCell ref="E107:E108"/>
    <mergeCell ref="F107:F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Sayfa2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BAĞ</dc:creator>
  <cp:lastModifiedBy>botas talu</cp:lastModifiedBy>
  <cp:lastPrinted>2025-11-22T14:14:51Z</cp:lastPrinted>
  <dcterms:created xsi:type="dcterms:W3CDTF">2015-06-05T18:19:34Z</dcterms:created>
  <dcterms:modified xsi:type="dcterms:W3CDTF">2026-10-09T11:10:18Z</dcterms:modified>
</cp:coreProperties>
</file>